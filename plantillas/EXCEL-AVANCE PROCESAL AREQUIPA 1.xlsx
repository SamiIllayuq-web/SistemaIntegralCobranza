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dev\gato\SistemaIntegralCobranza\plantillas\"/>
    </mc:Choice>
  </mc:AlternateContent>
  <xr:revisionPtr revIDLastSave="0" documentId="8_{21091DE8-5B44-4969-A830-BC28DA40B13D}" xr6:coauthVersionLast="47" xr6:coauthVersionMax="47" xr10:uidLastSave="{00000000-0000-0000-0000-000000000000}"/>
  <bookViews>
    <workbookView xWindow="-120" yWindow="-120" windowWidth="29040" windowHeight="15720" tabRatio="711" xr2:uid="{1794947A-EBF2-476E-92A2-691D17C6E3C4}"/>
  </bookViews>
  <sheets>
    <sheet name="CARTERA SELVA CENTRAL" sheetId="12" r:id="rId1"/>
  </sheets>
  <definedNames>
    <definedName name="_xlnm._FilterDatabase" localSheetId="0" hidden="1">'CARTERA SELVA CENTRAL'!$A$2:$BA$109</definedName>
    <definedName name="_Hlk211961692" localSheetId="0">#REF!</definedName>
  </definedNames>
  <calcPr calcId="191029"/>
  <extLst>
    <ext xmlns:xcalcf="http://schemas.microsoft.com/office/spreadsheetml/2018/calcfeatures" uri="{B58B0392-4F1F-4190-BB64-5DF3571DCE5F}">
      <xcalcf:calcFeatures>
        <xcalcf:feature name="microsoft.com:Single"/>
        <xcalcf:feature name="microsoft.com:CNMTM"/>
      </xcalcf:calcFeatures>
    </ext>
  </extLst>
</workbook>
</file>

<file path=xl/calcChain.xml><?xml version="1.0" encoding="utf-8"?>
<calcChain xmlns="http://schemas.openxmlformats.org/spreadsheetml/2006/main">
  <c r="C113" i="12" l="1"/>
  <c r="C35" i="12"/>
  <c r="C34" i="12"/>
  <c r="C76" i="12"/>
  <c r="C75" i="12"/>
  <c r="C94" i="12"/>
  <c r="C40" i="12"/>
  <c r="C18" i="12"/>
  <c r="C12" i="12"/>
  <c r="C13" i="12"/>
  <c r="C14" i="12"/>
  <c r="C52" i="12"/>
  <c r="C74" i="12"/>
  <c r="C15" i="12"/>
  <c r="C3" i="12"/>
  <c r="C4" i="12"/>
  <c r="C5" i="12"/>
  <c r="C6" i="12"/>
  <c r="C7" i="12"/>
  <c r="C8" i="12"/>
  <c r="C9" i="12"/>
  <c r="C10" i="12"/>
  <c r="C11" i="12"/>
  <c r="C16" i="12"/>
  <c r="C17" i="12"/>
  <c r="C19" i="12"/>
  <c r="C20" i="12"/>
  <c r="C21" i="12"/>
  <c r="C22" i="12"/>
  <c r="C23" i="12"/>
  <c r="C24" i="12"/>
  <c r="C25" i="12"/>
  <c r="C29" i="12"/>
  <c r="C30" i="12"/>
  <c r="C31" i="12"/>
  <c r="C32" i="12"/>
  <c r="C33" i="12"/>
  <c r="C36" i="12"/>
  <c r="C37" i="12"/>
  <c r="C38" i="12"/>
  <c r="C39" i="12"/>
  <c r="C41" i="12"/>
  <c r="C42" i="12"/>
  <c r="C43" i="12"/>
  <c r="C44" i="12"/>
  <c r="C45" i="12"/>
  <c r="C46" i="12"/>
  <c r="C47" i="12"/>
  <c r="C48" i="12"/>
  <c r="C49" i="12"/>
  <c r="C50" i="12"/>
  <c r="C51" i="12"/>
  <c r="C53" i="12"/>
  <c r="C54" i="12"/>
  <c r="C55" i="12"/>
  <c r="C56" i="12"/>
  <c r="C57" i="12"/>
  <c r="C58" i="12"/>
  <c r="C59" i="12"/>
  <c r="C60" i="12"/>
  <c r="C61" i="12"/>
  <c r="C62" i="12"/>
  <c r="C63" i="12"/>
  <c r="C64" i="12"/>
  <c r="C65" i="12"/>
  <c r="C66" i="12"/>
  <c r="C67" i="12"/>
  <c r="C68" i="12"/>
  <c r="C69" i="12"/>
  <c r="C70" i="12"/>
  <c r="C71" i="12"/>
  <c r="C72" i="12"/>
  <c r="C73" i="12"/>
  <c r="C77" i="12"/>
  <c r="C78" i="12"/>
  <c r="C79" i="12"/>
  <c r="C80" i="12"/>
  <c r="C81" i="12"/>
  <c r="C82" i="12"/>
  <c r="C83" i="12"/>
  <c r="C84" i="12"/>
  <c r="C85" i="12"/>
  <c r="C86" i="12"/>
  <c r="C87" i="12"/>
  <c r="C88" i="12"/>
  <c r="C89" i="12"/>
  <c r="C90" i="12"/>
  <c r="C91" i="12"/>
  <c r="C92" i="12"/>
  <c r="C93" i="12"/>
  <c r="C95" i="12"/>
  <c r="C96" i="12"/>
  <c r="C97" i="12"/>
  <c r="C98" i="12"/>
  <c r="C99" i="12"/>
  <c r="C100" i="12"/>
  <c r="C101" i="12"/>
  <c r="C102" i="12"/>
  <c r="C103" i="12"/>
  <c r="C104" i="12"/>
  <c r="C105" i="12"/>
  <c r="C106" i="12"/>
  <c r="C107" i="12"/>
  <c r="C108" i="12"/>
  <c r="C109" i="12"/>
  <c r="C110" i="12"/>
  <c r="C111" i="12"/>
  <c r="C112" i="12"/>
</calcChain>
</file>

<file path=xl/sharedStrings.xml><?xml version="1.0" encoding="utf-8"?>
<sst xmlns="http://schemas.openxmlformats.org/spreadsheetml/2006/main" count="3101" uniqueCount="967">
  <si>
    <t>AGENCIA</t>
  </si>
  <si>
    <t>CUENTA</t>
  </si>
  <si>
    <t>ABOGADO</t>
  </si>
  <si>
    <t>S/</t>
  </si>
  <si>
    <t>SI</t>
  </si>
  <si>
    <t>Judicial</t>
  </si>
  <si>
    <t>Ref.Jud.</t>
  </si>
  <si>
    <t>DATOS DEL CUADERNO PRINCIPAL</t>
  </si>
  <si>
    <t>DATOS DEL EXPEDIENTE PRINCIPAL</t>
  </si>
  <si>
    <t>OPERACIÓN</t>
  </si>
  <si>
    <t>DNI</t>
  </si>
  <si>
    <t>TRANS.</t>
  </si>
  <si>
    <t>OBSERVACION</t>
  </si>
  <si>
    <t>MONEDA</t>
  </si>
  <si>
    <t>SITUACION</t>
  </si>
  <si>
    <t>BUSQUEDA DE BIENES</t>
  </si>
  <si>
    <t>DEUDA CAP</t>
  </si>
  <si>
    <t>DEUDA TOTAL</t>
  </si>
  <si>
    <t xml:space="preserve"> TIPO DE JUZGADO</t>
  </si>
  <si>
    <t>DISTRITO JUDICIAL</t>
  </si>
  <si>
    <t>Nº JUZGADO</t>
  </si>
  <si>
    <t>N° EXP.</t>
  </si>
  <si>
    <t>MONTO DDO.</t>
  </si>
  <si>
    <t>Nº PARTIDA</t>
  </si>
  <si>
    <t>RANGO</t>
  </si>
  <si>
    <t>MONTO DE LA MC</t>
  </si>
  <si>
    <t>FECHA DE PRESENTACION</t>
  </si>
  <si>
    <t>FECHA DE INADMISIBLE</t>
  </si>
  <si>
    <t>FECHA DE ADMISION</t>
  </si>
  <si>
    <t>COMENTARIO</t>
  </si>
  <si>
    <t>FECHA DE AUTO FINAL</t>
  </si>
  <si>
    <t>FECHA DE REMATE 1°</t>
  </si>
  <si>
    <t>JUZGADO CIVIL</t>
  </si>
  <si>
    <t>INMUEBLE</t>
  </si>
  <si>
    <t>SOLES</t>
  </si>
  <si>
    <t>SEGUNDO</t>
  </si>
  <si>
    <t>PRIMERO</t>
  </si>
  <si>
    <t>Castigada</t>
  </si>
  <si>
    <t>INCIDENTE SI - NO</t>
  </si>
  <si>
    <t>DATOS DE EXP. CAUTELAR /HIPOTECA</t>
  </si>
  <si>
    <t>NINGUNO</t>
  </si>
  <si>
    <t>JUZGADO DE PAZ LETRADO</t>
  </si>
  <si>
    <t>TERCERO</t>
  </si>
  <si>
    <t>VEHICULO</t>
  </si>
  <si>
    <t>NO</t>
  </si>
  <si>
    <t>19.01.2022</t>
  </si>
  <si>
    <t>NRO</t>
  </si>
  <si>
    <t>ACCION PAULIANA</t>
  </si>
  <si>
    <t>22.06.2022</t>
  </si>
  <si>
    <t>02.04.2022</t>
  </si>
  <si>
    <t>EJECUCION GARANTIA</t>
  </si>
  <si>
    <t xml:space="preserve"> MEDIDA CAUTELAR EJECUTADA /GARANTIA (INSCRITA SI/NO)</t>
  </si>
  <si>
    <t>ESP. LEGAL (SECRETARIO)</t>
  </si>
  <si>
    <t>CÓDIGO/EXP.  CAUTELAR</t>
  </si>
  <si>
    <t>BIEN EMBARGADO (MUEBLE /INMUEBLE)</t>
  </si>
  <si>
    <t>PREFERENTE (EXCLUSIVO; D° EXPECTATICIOS, ACCIONES Y D°; COPROPIEDAD, ETC)</t>
  </si>
  <si>
    <t>FECHA DE PRESENTACION DE LA MC</t>
  </si>
  <si>
    <t>INGRESO DE EJECUCION Y NOMBRAMIENTRTO DE PERITOS</t>
  </si>
  <si>
    <t>FECHA DE REMATE 2°</t>
  </si>
  <si>
    <t>FECHA DE REMATE 3°</t>
  </si>
  <si>
    <t>DETALLE DE ACRREEDORES SI NOS ENCONTRAMOS DESPUES DEL PRIMER RANGO</t>
  </si>
  <si>
    <t>22.08.2022</t>
  </si>
  <si>
    <t>PICHANAQUI</t>
  </si>
  <si>
    <t>POSITIVO</t>
  </si>
  <si>
    <t>SELVA CENTRAL</t>
  </si>
  <si>
    <t>EXCLUSIVO</t>
  </si>
  <si>
    <t>ÑAHUINCOPA CLEMENTE JUAN</t>
  </si>
  <si>
    <t>ODSD</t>
  </si>
  <si>
    <t>NEGATIVO</t>
  </si>
  <si>
    <t>ADRIANO ÑAHUIN YESSI MONICA</t>
  </si>
  <si>
    <t>07.01.2019</t>
  </si>
  <si>
    <t>OXAPAMPA</t>
  </si>
  <si>
    <t>MARLA ASTO RAMOS</t>
  </si>
  <si>
    <t>MENDOZA BARRIENTOS INGRID</t>
  </si>
  <si>
    <t>00007-2022-0-3402-JP-CI-01</t>
  </si>
  <si>
    <t>00007-2022-19-3402-JP-CI-01</t>
  </si>
  <si>
    <t>11078007, 11078020</t>
  </si>
  <si>
    <t>31.01.2022</t>
  </si>
  <si>
    <t>12.04.2022</t>
  </si>
  <si>
    <t>29.04.2022</t>
  </si>
  <si>
    <t>14.09.2022</t>
  </si>
  <si>
    <t>NIEVES PALACIOS FULGENCIO</t>
  </si>
  <si>
    <t>25.08.2022</t>
  </si>
  <si>
    <t>08.09.2022</t>
  </si>
  <si>
    <t>CHANCHAMAYO</t>
  </si>
  <si>
    <t>MORALES RAMOS NORMA</t>
  </si>
  <si>
    <t>00027-2021-0-3401-JR-CO-01</t>
  </si>
  <si>
    <t>BIEN INMUEBLE UBICADO EN LA MZ UNICA LOTE 6 DE LA MERCED - CHANCHAMAYO - JUNIN, CON UN AREA DE 151.83 M2, INSCRITO EN LA PARTIDA ELECTRONICA NRO. 02000458, DE LA OFICINA REGISTRAL DE LA SELVA CENTRAL - SEDE HYO</t>
  </si>
  <si>
    <t xml:space="preserve">CUENTA CON UNA ANOTACION DE DEMANDA, SOBRE UN PROCESO DE PETICION DE HERENCIA </t>
  </si>
  <si>
    <t>15.06.2018</t>
  </si>
  <si>
    <t>15.02.2021</t>
  </si>
  <si>
    <t>25.03.2021</t>
  </si>
  <si>
    <t>RAMIREZ MORAN ORFE</t>
  </si>
  <si>
    <t>VAJDA CHAVEZ LUIS</t>
  </si>
  <si>
    <t>00032-2018-0-3401-JR-CO-01</t>
  </si>
  <si>
    <t>BIEN INMUEBLE UBICADO EN EL SECTOR RIO LAGARTO SECO IV ETAPA - PALCAZU - OXAPAMPA - PASCO CON UN AREA DE 121 HAS . 8,6000 M2, INSCRITO EN LA PARTIDA NRO. 11035490 DE LA OFICINA REGISTRAL DE LA SELVA CENTRAL - SEDE HYO.</t>
  </si>
  <si>
    <t>31.01.2018</t>
  </si>
  <si>
    <t>09.04.2018</t>
  </si>
  <si>
    <t>21.03.2022</t>
  </si>
  <si>
    <t>CORDERO REYNOSO ADOLFO</t>
  </si>
  <si>
    <t>00191-2022-0-3401-JR-CO-01</t>
  </si>
  <si>
    <t>1.- INMUEBLE FUNDO ADOLFO VALLE CHANCHAMAYO SECTOR ALTO ESPERANZA COD_REF_CATASTRAL 8-4658765_141365 SAN RAMON, CHANCHAMAYO - JUNIN, DE UN AREA DE 22,4273 HA. INSCRITO EN LA PARTIDA NRO. 11082414 - OF. REGISTRAL LA MERCED. 2.- INMUEBLE DENOMINADO COMO AV. CHANCHAMAYO S/N BARRIO RUMI CHACA DE LA COMUNIDAD CAMPESINA DE HUERTAS - JAUJA - JUNIN DE UN AREA DE 6,736.07 M2; INSCRITO EN LA PARTIDA NRO. 11263299 OF. REGISTRAL HYO.</t>
  </si>
  <si>
    <t>11082414, 11263299</t>
  </si>
  <si>
    <t>26.07.2018 - 04.06.2019</t>
  </si>
  <si>
    <t>30.01.2023</t>
  </si>
  <si>
    <t>ACCION REVOCATORIA</t>
  </si>
  <si>
    <t>FECHA DE INSCRIP. DEL EMBARGO / FEC. HIPOTECA/ANOTACION DE DDA.</t>
  </si>
  <si>
    <t>PROPIEDAD TRANSFERIDA</t>
  </si>
  <si>
    <t>11.01.2023</t>
  </si>
  <si>
    <t>ACCIONES Y DERECHOS</t>
  </si>
  <si>
    <t>21.12.2022</t>
  </si>
  <si>
    <t>JUZGADO MIXTO</t>
  </si>
  <si>
    <t>MELGAREJO DREYFFUS JULIANA</t>
  </si>
  <si>
    <t>16.01.2023</t>
  </si>
  <si>
    <t>05.12.2022</t>
  </si>
  <si>
    <t>ORELLANA CAMPIAN ANA</t>
  </si>
  <si>
    <t>00016-2023-88-3401-JP-CO-01</t>
  </si>
  <si>
    <t>PARDO HUAYHUAS RENAY</t>
  </si>
  <si>
    <t>00374-2022-0-3401-JP-CO-02</t>
  </si>
  <si>
    <t>SANGAY MALIMBA FLOR</t>
  </si>
  <si>
    <t>00374-2022-78-3401-JP-CO-02</t>
  </si>
  <si>
    <t>BIEN INMUEBLE UBICADO EN LA LOTE 01 MZ G, URBANIZACION CIUDAD SATELITE, PERENE, CHANCHAMAYO, DE UN AREA DE 200.50 M2, INSCRITO EN LA PARTIDA NRO. 02004339 DE LA OFICINA REGISTRAL SELVA CENTRAL.</t>
  </si>
  <si>
    <t>HIPOTECA A FAVOR DE CAJA HYO. POR LA SUMA DE 120,000.00 SOLES</t>
  </si>
  <si>
    <t>23.01.2023</t>
  </si>
  <si>
    <t>CREDITO DIGITAL</t>
  </si>
  <si>
    <t>10.10.2022</t>
  </si>
  <si>
    <t>MC/ODSD</t>
  </si>
  <si>
    <t>PEÑA CASTRO EDWIN</t>
  </si>
  <si>
    <t>70776007</t>
  </si>
  <si>
    <t>AUDIENCIA UNICA/SANEMIENTO /PRUEBAS</t>
  </si>
  <si>
    <t>11.04.2023</t>
  </si>
  <si>
    <t>C&amp;O</t>
  </si>
  <si>
    <t>10.04.2023</t>
  </si>
  <si>
    <t>$ 38225.00 y $ 31653.00</t>
  </si>
  <si>
    <t>DOLARES</t>
  </si>
  <si>
    <t>BIEN INMUEBLE UBICADO EN CENTRO POBLADO MZ 1C SUB LOTE 28-S SATIPO SATIPO JUNIN</t>
  </si>
  <si>
    <t>P42006888</t>
  </si>
  <si>
    <t>10.05.2023</t>
  </si>
  <si>
    <t>16.03.2023</t>
  </si>
  <si>
    <t>25.04.2023</t>
  </si>
  <si>
    <t>TIPO DE PROCESO JUDICIAL</t>
  </si>
  <si>
    <t>REYES GARCIA KARIN</t>
  </si>
  <si>
    <t>000170-2023-67-3401-JR-CI-01</t>
  </si>
  <si>
    <t>000170-2023-0-3401-JR-CI-01</t>
  </si>
  <si>
    <t>12.06.2023</t>
  </si>
  <si>
    <t>19.06.2023</t>
  </si>
  <si>
    <t>00164-2023-0-3401-JP-CO-01</t>
  </si>
  <si>
    <t>00164-2023-40-3401-JP-CO-01</t>
  </si>
  <si>
    <t>BIEN INMUEBLE UBICADO EN EL CENTRO POBLADO VILLA RCA CERCADO, MZ C LOTE 06 VILLA RICA, OXAPAMPA, REGION PASCO; DE UN AREA DE 242.700 M2, INSCRITO EN LA PARTIDA NRO. P43006339 OF. SELVA CENTRAL</t>
  </si>
  <si>
    <t>P43006339</t>
  </si>
  <si>
    <t>HIPOTECA A FAVOR DE LA BCP HASTA POR 25600.00 DOLARES Y INSCRIPCION DE EMBARGO A FAVOR DE LA CAJA HYO, HASTA POR 49,000.00 SOLES</t>
  </si>
  <si>
    <t xml:space="preserve"> BIEN INMUEBLE UBICADO EN LA MANZANA J LOTE 13 AAVV OXAPAMPA HACIA EL FUTURO, OXAPAMPA - PASCO - DE UN AREA DE 163.02 M2 CON PARTIDA ELECTRONICA 11067358 -  OFICINA SELVA CENTRAL - SEDE HYO.</t>
  </si>
  <si>
    <t>02.06.2023</t>
  </si>
  <si>
    <t>ANOTACION DE DEMANDA</t>
  </si>
  <si>
    <t>CASTILLON SIUCE RUBEN</t>
  </si>
  <si>
    <t>HUARCAYA GONZALES NELLY</t>
  </si>
  <si>
    <t>20588257</t>
  </si>
  <si>
    <t>28.08.2023</t>
  </si>
  <si>
    <t>00175-2023-63-3401-JR-CO-01</t>
  </si>
  <si>
    <t>00175-2023-63-3401-JR-CO-02</t>
  </si>
  <si>
    <t>00175-2023-63-3401-JR-CO-03</t>
  </si>
  <si>
    <t>00175-2023-0-3401-JR-CO-01</t>
  </si>
  <si>
    <t>• Bien Inmueble ubicado en la Mz R Lote 11 del centro Urbano informal Asociación Agroturismo la fortaleza II; del distrito de Pichanaqui, Provincia chanchamayo, Región Junín, con un área/extensión de 160.00 M2; inscrito en la Partida Electrónica N° 11074350, – del Registro de Propiedad Inmueble de la Oficina Registral SATIPO, Zona Registral Nº VIII -Sede Huancayo, hasta por la suma de S/ 73,000.00 (SETENTA Y TRES MIL CON 00/100 SOLES) sobre la propiedad que le corresponde HUARACA GONZALES NELLY (deudor principal)</t>
  </si>
  <si>
    <t>11074350,</t>
  </si>
  <si>
    <t>12.09.2023</t>
  </si>
  <si>
    <t>08.09.2023</t>
  </si>
  <si>
    <t>11.08.2023</t>
  </si>
  <si>
    <t>08.05.2023</t>
  </si>
  <si>
    <t>18.07.2023</t>
  </si>
  <si>
    <t>CASTILLO ORE ADIS</t>
  </si>
  <si>
    <t>25.08.2023</t>
  </si>
  <si>
    <t>10.10.2023</t>
  </si>
  <si>
    <t>27.10.2023</t>
  </si>
  <si>
    <t>13.12.2023</t>
  </si>
  <si>
    <t>06.02.2024</t>
  </si>
  <si>
    <t>AGUILAR AGUILAR JUDITH</t>
  </si>
  <si>
    <t>14.03.2024</t>
  </si>
  <si>
    <t>31.10.2023</t>
  </si>
  <si>
    <t>15.03.2024</t>
  </si>
  <si>
    <t>20.03.2024</t>
  </si>
  <si>
    <t>44187424</t>
  </si>
  <si>
    <t>00034-2024-0-3401-JR-CO-01</t>
  </si>
  <si>
    <t>00034-2024-32-3401-JR-CO-01</t>
  </si>
  <si>
    <t>PLACA M2V797 TOYOTA HILUX 4X4 C/D 3.0</t>
  </si>
  <si>
    <t>07.03.2024</t>
  </si>
  <si>
    <t>24.01.2024</t>
  </si>
  <si>
    <t>18.03.2024</t>
  </si>
  <si>
    <t>02.04.2024</t>
  </si>
  <si>
    <t>SE SOLICITO REINICIO DE PROCESO</t>
  </si>
  <si>
    <t>26.02.2024</t>
  </si>
  <si>
    <t>27.12.2023</t>
  </si>
  <si>
    <t xml:space="preserve">ANGORA ASTUCURI GISSELA </t>
  </si>
  <si>
    <t>URRUCHI CHIONG PATRICIA LILIANA</t>
  </si>
  <si>
    <t>04.07.2023</t>
  </si>
  <si>
    <t>19.09.2023</t>
  </si>
  <si>
    <t>CORTEZ ROJAS NANCY</t>
  </si>
  <si>
    <t>211392810618026</t>
  </si>
  <si>
    <t>211392811856165</t>
  </si>
  <si>
    <t>46523682</t>
  </si>
  <si>
    <t>DETALLE DE BIEN EMBARGADO Y/O GARANTIA</t>
  </si>
  <si>
    <t>• Inmueble signado con el Lote 007 de la manzana “C” ubicado en el Cenmtro Poblado Miricharo, del distrito de Perene, Provincia de Chanchamayo, Región Junín, de un área de 194.00 m2, Inscrito en la Partida Nro. 11039628 – oficina Registral de la Merced, con monto de gravamen de US$ 21,697.00 Dólares Americanos</t>
  </si>
  <si>
    <t>US$ 21,697.00</t>
  </si>
  <si>
    <t>17.09.2021</t>
  </si>
  <si>
    <t>00268-2023-0-3404-JR-CO-01</t>
  </si>
  <si>
    <t>00037-2024-0-3401-JP-CO-01</t>
  </si>
  <si>
    <t>00037-2024-26-3401-JP-CO-01</t>
  </si>
  <si>
    <t>LIVIA OCHOA JORGE</t>
  </si>
  <si>
    <t>10691702</t>
  </si>
  <si>
    <t>00057-2024-0-3402-JM-C1-01</t>
  </si>
  <si>
    <t>PORRAS OLARTE YHERI</t>
  </si>
  <si>
    <t>25.04.2024</t>
  </si>
  <si>
    <t>00046-2024-0-3404-JR-CO-01</t>
  </si>
  <si>
    <t>05.04.2024</t>
  </si>
  <si>
    <t>08.04.2024</t>
  </si>
  <si>
    <t>16.04.2024</t>
  </si>
  <si>
    <t>26.04.2024</t>
  </si>
  <si>
    <t>09.04.2024</t>
  </si>
  <si>
    <t>19.04.2024</t>
  </si>
  <si>
    <t xml:space="preserve">• Bien mueble – Vehicular de las siguientes características:
- PLACA:  C8Q937
- Partida Registral: 52217539
- Marca :  NISSAN
- Modelo:   FRONTIER
- Serie/Chasis:  3N6PD23Y3CK002531
- Año de fabricación: 2011
del Registro de bienes muebles de la Oficina Registral Lima, Zona Registral Nº IX –Sede LIMA, hasta por la suma de S/ 55,000.00 (CINCUENTA Y CINCO MIL CON 00/100 SOLES) de propiedad de LIVIA OCHOA JORGE LUIS.
</t>
  </si>
  <si>
    <t>29.04.2024</t>
  </si>
  <si>
    <t>HUACAYCHUCO ANTONIO EFRAIN</t>
  </si>
  <si>
    <t>42946646</t>
  </si>
  <si>
    <t>00151-2024-0-3404-JP-CO-01</t>
  </si>
  <si>
    <t>00151-2024-42-3404-JP-CO-01</t>
  </si>
  <si>
    <t>• Bien Inmueble ubicado en la manzana F1 lote 08 AAHH Asociación Asentamiento Humano Ciudad Universitaria Pichanaqui; del distrito de Pichanaqui, Provincia de Chanchamayo, Región Junín, con un área/extensión de 199.35 M2; inscrito en la Partida Electrónica N° 11076267, – del Registro de Propiedad Inmueble de la Oficina Registral de SATIPO, Zona Registral Nº VIII -Sede Huancayo, hasta por la suma de S/ 26,000.00 (VEINTI SEIS MIL CON 00/100 SOLES) sobre el 100 % de la propiedad que le corresponde a MIGUEL PEREZ ANA CRISTINA</t>
  </si>
  <si>
    <t>11076267,</t>
  </si>
  <si>
    <t>00203-2022-0-3402-JP-CI-01</t>
  </si>
  <si>
    <t>00203-2022-99-3402-JP-CI-01</t>
  </si>
  <si>
    <t>30.05.2024</t>
  </si>
  <si>
    <t>26.06.2024</t>
  </si>
  <si>
    <t>13.06.2024</t>
  </si>
  <si>
    <t>REF. JUDICIAL</t>
  </si>
  <si>
    <t>• Bien Inmueble ubicado en la manzana “A” lote 03, de P.I ciudadela Shaninka; del distrito de Chanchamayo, Provincia de chanchamayo, Región Junín, con un área/extensión de 120.20 M2; inscrito en la Partida Electrónica N° 11102702, – del Registro de Propiedad Inmueble de la Oficina Registral de Selva Central, Zona Registral Nº VIII -Sede Huancayo, hasta por la suma de S/ 30,000.00 (TREINTA MIL CON 00/100 SOLES) sobre el 100 % de la propiedad que les corresponde a PEREZ HERHUAY ROBERTO y AGUILAR OSORIO LIDIA ANGELA (fiadores solidarios).</t>
  </si>
  <si>
    <t>10.05.2024</t>
  </si>
  <si>
    <t>12.06.2024</t>
  </si>
  <si>
    <t>REACTIVA/HONRADO</t>
  </si>
  <si>
    <t>21.06.2024</t>
  </si>
  <si>
    <t xml:space="preserve">VEHICULO SECUESTRADO  </t>
  </si>
  <si>
    <t>17.05.2024</t>
  </si>
  <si>
    <t>17.06.2024</t>
  </si>
  <si>
    <t>21.05.2024</t>
  </si>
  <si>
    <t>15.10.2024</t>
  </si>
  <si>
    <t>08.07.2024</t>
  </si>
  <si>
    <t>09.08.2024</t>
  </si>
  <si>
    <t>01.08.2024</t>
  </si>
  <si>
    <t>26.08.2024</t>
  </si>
  <si>
    <t>FECHA DE CONSENTIMIENTO Y/O APERCIBIMIENTO. DE A.F / EJECUTORIADA</t>
  </si>
  <si>
    <t>SENTENCIA DE VISTA A FAVOR DE CAJA /ACCION PAULIANA</t>
  </si>
  <si>
    <t>VEHICULO SECUESTRADO</t>
  </si>
  <si>
    <t>18.07.2024</t>
  </si>
  <si>
    <t>23.08.2024</t>
  </si>
  <si>
    <t>29.08.2024</t>
  </si>
  <si>
    <t>CACERES VILLANUEVA PAOLA</t>
  </si>
  <si>
    <t>AQUINO ENCISO DIEGO</t>
  </si>
  <si>
    <t>45238018</t>
  </si>
  <si>
    <t>42179669</t>
  </si>
  <si>
    <t>HUAMANI SOLANO DAVID</t>
  </si>
  <si>
    <t>•	Bien Inmueble ubicado en Sector chontabamba margen derecha 838 XI etapa,  del distrito Chontabamba, Provincia de Oxapampa, Región Pasco, con un área/extensión de 0.3131 HA.; inscrito en la Partida Electrónica N° 11096559 – del Registro de Propiedad Inmueble de la Oficina Registral LA MERCED, Zona Registral Nº VIII -Sede Huancayo, hasta por la suma de S/ 19,500.00 (DIECINUEVE MIL QUINIENTOS CON 00/100 SOLES) sobre el 100 % de la propiedad que le corresponde a CACERES VILLANUEVA PAOLA CRISTINA y CORREA TICLAVILCA JUAN CARLOS.
•	Bien Inmueble ubicado en Sector chontabamba margen derecha 838 XI etapa,  del distrito Chontabamba, Provincia de Oxapampa, Región Pasco, con un área/extensión de 0.0482 HA.; inscrito en la Partida Electrónica N° 11109049 – del Registro de Propiedad Inmueble de la Oficina Registral LA MERCED, Zona Registral Nº VIII -Sede Huancayo, hasta por la suma de S/ 19,500.00 (DIECINUEVE MIL QUINIENTOS CON 00/100 SOLES) sobre el 100 % de la propiedad que le corresponde a CACERES VILLANUEVA PAOLA CRISTINA y CORREA TICLAVILCA JUAN CARLOS.</t>
  </si>
  <si>
    <t>11096559 - 11109049</t>
  </si>
  <si>
    <t>SOTELO FLORES ROCIO</t>
  </si>
  <si>
    <t>00189 -2024-0-3401-JP-CO-02</t>
  </si>
  <si>
    <t>PARIONA DE LA PEÑA JOSE EDUARDO</t>
  </si>
  <si>
    <t>00189-2024-42-3401-JP-CI-02</t>
  </si>
  <si>
    <t>•	Bien Inmueble ubicado en el segundo piso -departamento 202-malecon rio garou nro., 535 – interior 202, , del distrito y Provincia de Chanchamayo, Región Junin, con un área/extensión de 63.57 M2; inscrito en la Partida Electrónica N° 11096248 – del Registro de Propiedad Inmueble de la Oficina Registral LA MERCED, Zona Registral Nº VIII -Sede Huancayo, hasta por la suma de S/ 16,000.00 (DIECISEIS MIL CON 00/100 SOLES) sobre el 100 % de las acciones y derechos de la propiedad que le corresponde a AQUINO ENCISO SONIA EDITH (fiadora solidaria).</t>
  </si>
  <si>
    <t>02.09.2024</t>
  </si>
  <si>
    <t>00187 -2024-0-3401-JP-CO-02</t>
  </si>
  <si>
    <t>GOMERO RODRIGUEZ LOURDES</t>
  </si>
  <si>
    <t>27.08.2024</t>
  </si>
  <si>
    <t>17.09.2024</t>
  </si>
  <si>
    <t>13.09.2024</t>
  </si>
  <si>
    <t>18.09.2024</t>
  </si>
  <si>
    <t>27.09.2024</t>
  </si>
  <si>
    <t>10.09.2024</t>
  </si>
  <si>
    <t>01.10.2024</t>
  </si>
  <si>
    <t>00174-2024-0-3402-JP-CI-01</t>
  </si>
  <si>
    <t>00174-2024-20-3402-JP-CI-01</t>
  </si>
  <si>
    <t>14.10.2024</t>
  </si>
  <si>
    <t>17.10.2024</t>
  </si>
  <si>
    <t>00215-2024-0-3401-JP-CO-02</t>
  </si>
  <si>
    <t>VARGAS DE LA CRUZ ABNER</t>
  </si>
  <si>
    <t>30.10.2024</t>
  </si>
  <si>
    <t>04.11.2024</t>
  </si>
  <si>
    <t>22.10.2024</t>
  </si>
  <si>
    <t>CHANCASANAMPA ESPINAL EDGAR</t>
  </si>
  <si>
    <t>HUAMAN CHIQUILLAN PILAR</t>
  </si>
  <si>
    <t>42610720</t>
  </si>
  <si>
    <t>10521567</t>
  </si>
  <si>
    <t>00406-2024-0-3404-JP-CO-01</t>
  </si>
  <si>
    <t>00406-2024-55-3404-JP-CO-01</t>
  </si>
  <si>
    <t>•	Bien Inmueble en la sección especial de predios rurales parcela 32524 sector proyecto de adjudicación Huachiriki Autiki I etapa; del distrito de Pichanaki, Provincia de Chanchamayo, Región Junín, con un área/extensión de 15.00 Has.5,000 M2; inscrito en la Partida Electrónica N° 11014969, – del Registro de Propiedad Inmueble de la Oficina Registral de SATIPO, Zona Registral Nº VIII -Sede Huancayo</t>
  </si>
  <si>
    <t>DENTRO DE PARTIDA SE ENCUENTRA UN EMBARGO, QUE AL CRUZARSE INFORMACION CON CENTRALES DE RIESGOS, SE CONSTATO QUE NO TIENE DEUDA PENDIENTES CON DICHA EMPRESA (ASIENTO D0001 CAJA PIURA), POR LO QUE EL EMBARGO CAE EN PRIMER RANGO.</t>
  </si>
  <si>
    <t>00083-2024-17-3402-JM-CI-01</t>
  </si>
  <si>
    <t>31.10.2024</t>
  </si>
  <si>
    <t>20.09.2024</t>
  </si>
  <si>
    <t>CON TERCERIA (CASACION) Y NULIDAD DE ACTO JURIDICO</t>
  </si>
  <si>
    <t>03.12.2024</t>
  </si>
  <si>
    <t>TERCERIA DE PROPIEDAD</t>
  </si>
  <si>
    <t>12.12.2024</t>
  </si>
  <si>
    <t>00593-2022-0-3401-JR-CI-01</t>
  </si>
  <si>
    <t>CASANOBA HUAMAN CHARLES</t>
  </si>
  <si>
    <t>18.01.2023</t>
  </si>
  <si>
    <t>LUIS PALACIOS VERAN</t>
  </si>
  <si>
    <t>GOMERO RODRIGUEZ LOURDES EILAINE</t>
  </si>
  <si>
    <t>PENDIENTE DE NOTIFICAR A LOS DEMANDADOS</t>
  </si>
  <si>
    <t>03.10.2024</t>
  </si>
  <si>
    <t>03.11.2024</t>
  </si>
  <si>
    <t>17.12.2024</t>
  </si>
  <si>
    <t>07.01.2025</t>
  </si>
  <si>
    <t>13.01.2025</t>
  </si>
  <si>
    <t>17.01.2025</t>
  </si>
  <si>
    <t xml:space="preserve"> </t>
  </si>
  <si>
    <t>24.01.2025</t>
  </si>
  <si>
    <t>CONSENTIDA EL AUTO 187-2024</t>
  </si>
  <si>
    <t xml:space="preserve">Bien Inmueble ubicado en Mz “181 C” Lote 10, ubicado en la Asociación de Vivienda 6 de junio, distrito y provincia de Oxapampa, Región de Pasco, con un área/extensión de 150 m2.; inscrito en la Partida Electrónica N° 11005717 – del Registro de Propiedad Inmueble de la Oficina Registral LA MERCED, Zona Registral N.º VIII -Sede Huancayo, </t>
  </si>
  <si>
    <t>1°HIPOTECA A FAVOR DE MI BANCO POR EL MONTO DE 884,396.25 SOLES</t>
  </si>
  <si>
    <t>28.01.2025</t>
  </si>
  <si>
    <t>HUAMAN GARCIA REYNALDO TEOFILO</t>
  </si>
  <si>
    <t>04338563</t>
  </si>
  <si>
    <t>• Bien Inmueble ubicado en Lote 8 de la Manzana A de la Asociación de vivienda Divina Esperanza, ubicado en el sector la esperanza - Miraflores, distrito y provincia de Oxapampa, Región de Pasco, con un área/extensión de 160.68 m2.; inscrito en la Partida Electrónica N° 11073251 – del Registro de Propiedad Inmueble de la Oficina Registral LA MERCED, Zona Registral N.º VIII -Sede Huancayo.</t>
  </si>
  <si>
    <t>Según la central de riesgo solo firgura la Hipoteca a favor de Mi Banco por el monto de S/.195,252.35 soles</t>
  </si>
  <si>
    <t>RODRIGUEZ ESPINOZA JOSUE</t>
  </si>
  <si>
    <t>Bien Inmueble ubicado en la parcela N°073724, del Valle Chontabamba, sector Dos de Mayo, distrito de Chontabamba y provincia de Oxapampa, Región de Pasco, con un área/extensión de 0.4657 ha; inscrito en la Partida Electrónica N° 11114485 – del Registro de Propiedad Inmueble de la Oficina Registral LA MERCED, Zona Registral N.º VIII -Sede Huancayo</t>
  </si>
  <si>
    <t>MUERAS HINOSTROZA DAVID</t>
  </si>
  <si>
    <t>00017-2025-0-3401-JR-CI-01</t>
  </si>
  <si>
    <t>GOMERO SANCHEZ JHEAN</t>
  </si>
  <si>
    <t>00017-2025-35-3401-JR-CI-01</t>
  </si>
  <si>
    <t>1) Bien Inmueble  denominado “ALBORADA” ubicado en el  valle Chanchamayo, sector Chincana, Distrito de San Ramon, Provincia de Chanchamayo, Región de Junín, con un área/extensión de 0.5692 Ha; inscrito en la Partida Electrónica N° 11081797 – del Registro de Propiedad Inmueble de la Oficina Registral LA MERCED, Zona Registral Nº VIII -Sede Huancayo. 2)• Bien Inmueble  denominado “ALBORADA II” ubicado en el  valle Chanchamayo, sector Chincana, Distrito de San Ramon, Provincia de Chanchamayo, Región de Junín, con un área/extensión de 0.0733 Ha; inscrito en la Partida Electrónica N° 11082584 – del Registro de Propiedad Inmueble de la Oficina Registral LA MERCED, Zona Registral Nº VIII -Sede Huancayo 3)• Bien Inmueble  denominado “ALBORADA I” ubicado en el  valle Chanchamayo, sector Chincana, Distrito de San Ramon, Provincia de Chanchamayo, Región de Junín, con un área/extensión de 1.0909 Ha; inscrito en la Partida Electrónica N° 11082583 – del Registro de Propiedad Inmueble de la Oficina Registral LA MERCED, Zona Registral Nº VIII -Sede Huancayo.</t>
  </si>
  <si>
    <t>10.01.2025</t>
  </si>
  <si>
    <t>11081797/11082584 /11082583</t>
  </si>
  <si>
    <t>GUILLEN MICHUE ESTEFANI VIRGINIA</t>
  </si>
  <si>
    <t>0009-2025-0-3402-JP-CI-01</t>
  </si>
  <si>
    <t>31.01.2025</t>
  </si>
  <si>
    <t>02.04.2025</t>
  </si>
  <si>
    <t>19.01.2025</t>
  </si>
  <si>
    <t>00017-2025-60-3402-JP-CI-01</t>
  </si>
  <si>
    <t>00016-2025-0-3402-JP-CI-01</t>
  </si>
  <si>
    <t>00016-2025-52-3402-JP-CI-01</t>
  </si>
  <si>
    <t>SALAS LEON RONALD CIPRIANO</t>
  </si>
  <si>
    <t>CAVALI</t>
  </si>
  <si>
    <t>00017-2025-0-3402-JP-CI-01</t>
  </si>
  <si>
    <t>17.02.2025</t>
  </si>
  <si>
    <t>06.02.2025</t>
  </si>
  <si>
    <t>00024-2025-42-3402-JM-CI-01</t>
  </si>
  <si>
    <t>00024-2025-0-3402-JM-CI-01</t>
  </si>
  <si>
    <t>19.02.2025</t>
  </si>
  <si>
    <t>AGUILAR OSORIO LIDIA</t>
  </si>
  <si>
    <t>00030-2025-0-3401-JP-CO-01</t>
  </si>
  <si>
    <t>00030-2025-61-3401-JP-CO-01</t>
  </si>
  <si>
    <t>ubicado en Mz H Lote 10 Sector C.U.I Naranjal, distrito de San Ramon, Provincia de Chanchamayo, Región de Junín, con un área/extensión de 170.58 m2; inscrito en la Partida Electrónica N° 11058653.</t>
  </si>
  <si>
    <t>14.02.2025</t>
  </si>
  <si>
    <t>JAUREGUI MIRANDA MOISES</t>
  </si>
  <si>
    <t>JUZGADO PAZ LETRADO</t>
  </si>
  <si>
    <t>00029-2025-0-3401-JP-CO-02</t>
  </si>
  <si>
    <t>GOMERO ODRIGUEZ LOURDES EILAINE</t>
  </si>
  <si>
    <t>00029-2025-71-3401-JP-CO-02</t>
  </si>
  <si>
    <t>11102702/02008969</t>
  </si>
  <si>
    <t>GONZALES OSORIO KAREN</t>
  </si>
  <si>
    <t>00005-2025-32-3404-JR-CO-01</t>
  </si>
  <si>
    <t>00005-2025-0-3404-JR-CO-01</t>
  </si>
  <si>
    <t>POMA AYUQUE LOURDES</t>
  </si>
  <si>
    <t xml:space="preserve">Inmueble ubicado en el Bloque “D”, sub-Lote N°05, Mercado N°01, distrito de Pichanaqui, Provincia de Chanchamayo, Región de Junín, con un área/extensión de 17.25 m2; inscrito en la Partida Electrónica N° 02002028 </t>
  </si>
  <si>
    <t>INGA MEDINA EDDY</t>
  </si>
  <si>
    <t>00019-2025-46-3404-JP-CO-01</t>
  </si>
  <si>
    <t>00019-2025-0-3404-JP-CO-01</t>
  </si>
  <si>
    <t>26.02.2025</t>
  </si>
  <si>
    <t>03.03.2025</t>
  </si>
  <si>
    <t>06.03.2025</t>
  </si>
  <si>
    <t>07.03.2025</t>
  </si>
  <si>
    <t>05.03.2025</t>
  </si>
  <si>
    <t>00260-2024-0-3401-JP-CO-01</t>
  </si>
  <si>
    <t>S/. 36.278.08</t>
  </si>
  <si>
    <t>RAMIREZ MORAN ORFA EUNICE</t>
  </si>
  <si>
    <t>VILLANUEVA RAMOS ANGELICA DOMITILA</t>
  </si>
  <si>
    <t>SE HA CONSENTIDO AUTO FINAL</t>
  </si>
  <si>
    <t>19.03.2025</t>
  </si>
  <si>
    <t>00215-2024-15-3401-JP-CO-02</t>
  </si>
  <si>
    <t>• Bien Inmueble ubicado en Lote N°01 – MANZANA “G” Urbanización/AA.HH Ciudad Satélite del distrito de Perene, Provincia de Chanchamayo, Región Junín, con una Área de 200.50 m2, inscrito en la Partida Electrónica N° 02004339 – del Registro de Propiedad Inmueble de la Oficina Registral Selva Central, Zona Registral Nº VIII -Sede Huancayo</t>
  </si>
  <si>
    <t>25.03.2025</t>
  </si>
  <si>
    <t>27.03.2025</t>
  </si>
  <si>
    <t>AUTO FINAL</t>
  </si>
  <si>
    <t>03.04.2025</t>
  </si>
  <si>
    <t>ANGOMA ASTUCURI GISSELA PATRICIA</t>
  </si>
  <si>
    <t>08.04.2025</t>
  </si>
  <si>
    <t>10.04.2025</t>
  </si>
  <si>
    <t>SE ADMITE A TRAMITE LA DEMANDA</t>
  </si>
  <si>
    <t>MARQUEZ MENDOZA GUSTAVO RENZO</t>
  </si>
  <si>
    <t>22.04.2025</t>
  </si>
  <si>
    <t>PICON QUINTANA LUZ</t>
  </si>
  <si>
    <t>MALDONADO HUARINGA FERMIN</t>
  </si>
  <si>
    <t>25.04.2025</t>
  </si>
  <si>
    <t>00029-2025-84-3404-JP-CI-01</t>
  </si>
  <si>
    <t>00029-2025-0-3404-JP-CI-01</t>
  </si>
  <si>
    <t>05.05.2025</t>
  </si>
  <si>
    <t xml:space="preserve">JUZGADO CIVIL </t>
  </si>
  <si>
    <t>00061-2025-0-3404-JR-CI-01</t>
  </si>
  <si>
    <t>VERASTEGUI ZUÑIGA INGRID BRIGHIT</t>
  </si>
  <si>
    <t>00061-2025-59-3404-JR-CI-01</t>
  </si>
  <si>
    <t xml:space="preserve">• Bien Inmueble ubicado DOS HERMANOS, sector Zarumilla, distrito de Rio Negro, Provincia de Satipo, Región de Junín, con un área/extensión de 0.3927 ha; inscrito en la Partida Electrónica N° 11091125 • Bien Inmueble ubicado en predio rural DULCE CORAZÓN DE JESÚS, parcela 710221, Sector Zarumilla, distrito de Rio Negro, Provincia de Satipo, Región de Junín, con un área/extensión de 9.0579 ha; inscrito en la Partida Electrónica N° 11091124 </t>
  </si>
  <si>
    <t>11094690 / 11094874</t>
  </si>
  <si>
    <t xml:space="preserve">11091125 / 11091124 </t>
  </si>
  <si>
    <t>CARTERA VENDIDA</t>
  </si>
  <si>
    <t>08.05.2025</t>
  </si>
  <si>
    <t>si</t>
  </si>
  <si>
    <t>11.04.2025</t>
  </si>
  <si>
    <t>12.05.2025</t>
  </si>
  <si>
    <t>07.05.2025</t>
  </si>
  <si>
    <t>MASSA BALDEON SUELI</t>
  </si>
  <si>
    <t>22.05.2025</t>
  </si>
  <si>
    <t>00152-2025-68-3401-JP-CI-02</t>
  </si>
  <si>
    <t>• Bien Inmueble ubicado en AV. Peru numero S/N Sector Pampa del Carmen, Distrito y Provincia de Chanchamayo, Región de Junín, con un área/extensión de 298.85 m2; inscrito en la Partida Electrónica N° 11102022 – del Registro de Propiedad Inmueble de la Oficina Registral LA MERCED.</t>
  </si>
  <si>
    <t>28.05.2025</t>
  </si>
  <si>
    <t>29.05.2025</t>
  </si>
  <si>
    <t>25.05.2025</t>
  </si>
  <si>
    <t>25.05.2026</t>
  </si>
  <si>
    <t>22.05.2025 INCOPENTENCIA DEL JUZGADO</t>
  </si>
  <si>
    <t>15.05.2025</t>
  </si>
  <si>
    <t>02004339</t>
  </si>
  <si>
    <t>Bien Inmueble ubicado en la parcela N°073724, del Valle Chontabamba, sector Dos de Mayo, distrito de Chontabamba y provincia de Oxapampa, Región de Pasco, con un área/extensión de 0.4657 ha; inscrito en la Partida Electrónica N° 11114485 – del Registro de Propiedad Inmueble de la Oficina Registral LA MERCED, Zona Registral N.º VIII -Sede Huancayo.</t>
  </si>
  <si>
    <t>05.06.2025</t>
  </si>
  <si>
    <t>SE NOTIFIQUE LA MC A LAS PARTES</t>
  </si>
  <si>
    <t>13.06.2025</t>
  </si>
  <si>
    <t>LUIS ALBERTO PALACIOS VERAN</t>
  </si>
  <si>
    <t>TARMA</t>
  </si>
  <si>
    <t>30.06.2025</t>
  </si>
  <si>
    <t>ADMITE A TRAMITE LA DEMANDA</t>
  </si>
  <si>
    <t>16.07.2025</t>
  </si>
  <si>
    <t>21.05.2025</t>
  </si>
  <si>
    <t>17.07.2025</t>
  </si>
  <si>
    <t>04.07.2025</t>
  </si>
  <si>
    <t>00152-2025-0-3401-JP-CI-02</t>
  </si>
  <si>
    <t>VERA PICOY PEDRO CESAR</t>
  </si>
  <si>
    <t>12.06.2025</t>
  </si>
  <si>
    <t>02.07.2025</t>
  </si>
  <si>
    <t>09.07.2025</t>
  </si>
  <si>
    <t>ROFNER SCHMIDT LILIA</t>
  </si>
  <si>
    <t>ALVAREZ HUAILLACCAHUA YOLANDA</t>
  </si>
  <si>
    <t>YALICO MICHI RONAL</t>
  </si>
  <si>
    <t>SOLANO AIRE LADY</t>
  </si>
  <si>
    <t>ZACARIAS QUINCHO TONY</t>
  </si>
  <si>
    <t>CUSI ARROYO LUIS</t>
  </si>
  <si>
    <t>• Bien Inmueble ubicado con frente a la carretera central de la Merced  - Lote N°16 del grupo 06 – Av. Carlos A.Pescheira, Distrito y Provincia de Chanchamayo, Región de Junín, con un área/extensión de 400.00 m2; inscrito en la Partida Electrónica N° 11002030 – del Registro de Propiedad Inmueble de la Oficina Registral LA MERCED, Zona Registral N.º VIII -Sede Huancayo</t>
  </si>
  <si>
    <t>04.08.2025</t>
  </si>
  <si>
    <t>JUNIN</t>
  </si>
  <si>
    <t>P43007389</t>
  </si>
  <si>
    <t>SELVA CENRAL</t>
  </si>
  <si>
    <t>11072992</t>
  </si>
  <si>
    <t>HIPOTECA  SCOTIABANK/EMBARGO CAMAC PIURA</t>
  </si>
  <si>
    <t>• Bien Inmueble ubicado Asentamiento Humano Asociación de Vivienda Hermanas Paucar Mz A Lote 11, Distrito de Perene, Provincia de Chanchamayo, Región de Junín, con un área/extensión de 299.7 m2; inscrito en la Partida Electrónica N°P43002603– del Registro de Propiedad Inmueble de la Oficina Registral LA MERCED, Zona Registral N.º VIII -Sede Huancayo / • Bien Inmueble ubicado en Tienda 134, Jr. 9 de diciembre Mz Q-1 del AA.HH. Bajo Pichanaqui, Distrito de Pichanaqui, Provincia de Chanchamayo, Región de Junín, con un área/extensión de 7.10 m2; inscrito en la Partida Electrónica N°11035110– del Registro de Propiedad Inmueble de la Oficina Registral SATIPO, Zona Registral N.º VIII -Sede Huancayo</t>
  </si>
  <si>
    <t>P43002603 / 11035110</t>
  </si>
  <si>
    <t>HIPOTECA EPYME CONFIANZA/</t>
  </si>
  <si>
    <t>00122-2025-29-3404-JP-CI-01</t>
  </si>
  <si>
    <t>01.08.2025</t>
  </si>
  <si>
    <t>00123-2025-22-3404-JP-CI-01</t>
  </si>
  <si>
    <t>ESPINOZA LOBATON KATHY JACQUELIN</t>
  </si>
  <si>
    <t>00083-2025-74-3404-JR-CI-01</t>
  </si>
  <si>
    <t>AGUILAR ORTIZ RUFINA YOLA</t>
  </si>
  <si>
    <t>00203-2025-47-3401-JP-CI-01</t>
  </si>
  <si>
    <t>30.07.2025</t>
  </si>
  <si>
    <t>AUTO DE ADJUDICACION Y SE COBRE LOS DEPOSITOS</t>
  </si>
  <si>
    <t>PRIMER</t>
  </si>
  <si>
    <t>TASACION/FECHA DE NOMBRAMIENTO DE MARTILLERO/ REMAJU</t>
  </si>
  <si>
    <t>OBSERVACION/ACTOS PROCESALES IMPOPORTANTES</t>
  </si>
  <si>
    <t>0035-2025-5-3402-JP-CO-01</t>
  </si>
  <si>
    <t>13.08.2025</t>
  </si>
  <si>
    <t xml:space="preserve">CANCELADO </t>
  </si>
  <si>
    <t>00036-2025-0-3402-JP-CO-01</t>
  </si>
  <si>
    <t>12.08.2025</t>
  </si>
  <si>
    <t>07.11.2025</t>
  </si>
  <si>
    <t>ANTICIPO DE LEGITIMA</t>
  </si>
  <si>
    <t>MEJIA URRUTIA JOSE</t>
  </si>
  <si>
    <t>ACOSTA HUAMAN MARIELA</t>
  </si>
  <si>
    <t>GARIBAY CRESPO CESAR</t>
  </si>
  <si>
    <t>HUAYNATE LUNA ELEUTERIO</t>
  </si>
  <si>
    <t>ISAAC ALCALDE LICETH</t>
  </si>
  <si>
    <t>SALCEDO LIMACO MARIA</t>
  </si>
  <si>
    <t>HUAROC REZA VITALINA</t>
  </si>
  <si>
    <t>MARTINEZ HINOSTROZA MARIA</t>
  </si>
  <si>
    <t>09566934</t>
  </si>
  <si>
    <t>335-2025-0-3401-JR-CI-01</t>
  </si>
  <si>
    <t>15.08.2025</t>
  </si>
  <si>
    <t>MARIN DIONISIO EVELYN GABRIELA</t>
  </si>
  <si>
    <t>• Inmueble ubicado en el Sector: San Miguel de Eneñas, Valle: Villa Rica, Nombre de Predio: Santa Maria III, del Distrito de Villa Rica, Provincia de Oxapampa, Departamento de Pasco; con un área de 2.0435 Ha, inscrito en la partida electrónica N °11069982 del Registro de Propiedad Inmueble de la Oficina Registral LA MERCED, Zona Registral N.º VIII -Sede Huancayo</t>
  </si>
  <si>
    <t xml:space="preserve">SE ADJUDICO BIEN </t>
  </si>
  <si>
    <t>JUZGADO DE PAZ LETRADO DE OXAPAMPA</t>
  </si>
  <si>
    <t>00045-2025-0-3402-JP-CI-01</t>
  </si>
  <si>
    <t xml:space="preserve">1. • Bien Inmueble ubicado en el sector RIO NEGRO IC-IIB I ETAPA, distrito de Rio Negro, Provincia de Satipo, Región de Junín, con un área/extensión 264.00 m2; inscrito en la Partida Electrónica N° 11094690 • Bien Inmueble ubicado en el sector RIO NEGRO IC-IIB I ETAPA, en el distrito de Rio Negro, Provincia de Satipo, Departamento de Junín, con un área/extensión de 226.60 m2; inscrito en la Partida Electrónica N° 11094874 </t>
  </si>
  <si>
    <t>27.08.2025</t>
  </si>
  <si>
    <t>01.09.2025</t>
  </si>
  <si>
    <t>26.08.2025</t>
  </si>
  <si>
    <t>02.09.2025</t>
  </si>
  <si>
    <t>14.08.2025</t>
  </si>
  <si>
    <t>00146-2025-64-3404-JP-CI-01</t>
  </si>
  <si>
    <t>02001656 / 11019027</t>
  </si>
  <si>
    <t>PRIMERO/SEGUNDO</t>
  </si>
  <si>
    <t>HIPOTECA CON BANCO AGRARIO</t>
  </si>
  <si>
    <t>19.08.2025</t>
  </si>
  <si>
    <t>04.09.2025</t>
  </si>
  <si>
    <t>46311583</t>
  </si>
  <si>
    <t>04303062</t>
  </si>
  <si>
    <t>04307469</t>
  </si>
  <si>
    <t>41419046</t>
  </si>
  <si>
    <t>40613223</t>
  </si>
  <si>
    <t>JUZSGADO MIXTO</t>
  </si>
  <si>
    <t>00266-2025-53-3402-JM-CI-01</t>
  </si>
  <si>
    <t>SOTELO FLORES ROCIO ISABEL</t>
  </si>
  <si>
    <t>• Bien Inmueble ubicado en sector Rio Pisco – Alto Churumazu – Mesapata, Valle Oxapampa, Distrito Oxapampa, Provincia de Oxapampa, Región de Pasco, con un área/extensión de 1.6585 Ha; inscrito en la Partida Electrónica N° 11024220 – del Registro de Propiedad Inmueble de la Oficina Registral LA MERCED, Zona Registral Nº VIII -Sede Huancayo, 2) • Bien Inmueble ubicado sector Rio Pisco – Alto Churumazu – Mesapata, Valle Oxpampa, Distrito Oxapampa, Provincia de Oxapampa, Región de Pasco, con un área/extensión de 0.5849 Ha; inscrito en la Partida Electrónica N° 11024211 – del Registro de Propiedad Inmueble de la Oficina Registral LA MERCED, Zona Registral Nº VIII -Sede Huancayo, 3)• Bien Inmueble ubicado sector Rio Pisco, Distrito Oxapampa, Provincia de Oxapampa, Región de Pasco, con un área/extensión de 1.1186 Ha; inscrito en la Partida Electrónica N° 11083761 – del Registro de Propiedad Inmueble de la Oficina Registral LA MERCED, Zona Registral Nº VIII -Sede Huancayo,</t>
  </si>
  <si>
    <t xml:space="preserve">• Bien Inmueble ubicado en Lote 14, Mz C de la “PRADERA AZUL ASOCIACION DE VIVIENDA” Sector la Esperanza Miraflores, Distrito Oxapampa, Provincia de Oxapampa, Región de Pasco, con un área/extensión de 170.00 m2; inscrito en la Partida Electrónica N° 11085155 – del Registro de Propiedad Inmueble de la Oficina Registral LA MERCED, Zona Registral Nº VIII -Sede Huancayo, </t>
  </si>
  <si>
    <t xml:space="preserve">11024220 /11024211 / 11083761 </t>
  </si>
  <si>
    <t>22.08.2025</t>
  </si>
  <si>
    <t>00040-2025-40-3402-JP-CO-01</t>
  </si>
  <si>
    <t>00038-2025-6-3402-JP-CO-01</t>
  </si>
  <si>
    <t>EMBARGO- CAJA AREQUIPA</t>
  </si>
  <si>
    <t>00267-2025-29-3402-JM-CI-01</t>
  </si>
  <si>
    <t>• Bien Inmueble ubicado Centro Poblado Saños Chico 1 Mz B Lote 48 Sector 1er Cuartel, Distrito El Tambo, Provincia de Huancayo, Región de Junín, con un área/extensión de 92.4 m2; inscrito en la Partida Electrónica N° P16031494 – del Registro de Propiedad Inmueble de la Oficina Registral HUANCAYO. 2) • Bien Inmueble ubicado Lote N°10 de la Manzana “I” de la “Asociación de vivienda Oxapampa hacia el futuro”, Distrito Oxapampa, Provincia de Oxapampa, Región de Pasco, con un área/extensión de 190.00 m2; inscrito en la Partida Electrónica N° 11067337– del Registro de Propiedad Inmueble de la Oficina Registral LA MERCED, Zona Registral Nº VIII -Sede Huancayo.</t>
  </si>
  <si>
    <t>P16031494/ 11067337</t>
  </si>
  <si>
    <t>28.08.2025</t>
  </si>
  <si>
    <t>00088-2025-7-3404-JR-CI-01</t>
  </si>
  <si>
    <t xml:space="preserve">• Bien Inmueble ubicado Manzana “E”, Lote N°01, del centro poblado San Francisco de Centro Kuviriani, Distrito de Pichanaqui, Provincia de Chanchamayo y Región de Junín, con un área/extensión de 200.00 m2; inscrito en la Partida Electrónica N° 11072475 – del Registro de Propiedad Inmueble de la Oficina Registral SATIPO, Zona Registral Nº VIII -Sede Huancayo, </t>
  </si>
  <si>
    <t>00039-2025-83-3402-JP-CO-01</t>
  </si>
  <si>
    <t>• Bien Inmueble ubicado Mz 185 -A, Lote 22 del “C.U.I Pasaje Bronchu”, Distrito Oxapampa, Provincia de Oxapampa, Región de Pasco, con un área/extensión de 1.6585 Ha; inscrito en la Partida Electrónica N° 11076242 – del Registro de Propiedad Inmueble de la Oficina Registral LA MERCED, Zona Registral Nº VIII -Sede Huancayo.</t>
  </si>
  <si>
    <t>• Bien Inmueble ubicado en Sector chontabamba margen derecha 838 XI etapa, del distrito Chontabamba, Provincia de Oxapampa, Región Pasco, con un área/extensión de 0.3131 HA.; inscrito en la Partida Electrónica N° 11096559 - del Registro de Propiedad Inmueble de la Oficina Registral LA MERCED, Zona Registral Nº VIII -Sede Huancayo, • Bien Inmueble ubicado en Sector chontabamba margen derecha 838 XI etapa, del distrito Chontabamba, Provincia de Oxapampa, Región Pasco, con un área/extensión de 0.0482 HA., Inscrito en la Partida Electrónica N° 11109049 - del Registro de Propiedad Inmueble de la Oficina Registral LA MERCED, Zona Registral Nº VIII -Sede Huancayo,</t>
  </si>
  <si>
    <t>EMBARGO - A FAVOR DE LA CAJA AREQUIPA EN OTRO CREDITO</t>
  </si>
  <si>
    <t>05.09.2025</t>
  </si>
  <si>
    <t>03.09.2025</t>
  </si>
  <si>
    <t>conpromiso de pago</t>
  </si>
  <si>
    <t>00265-2025-0-3402-JM-CI-01</t>
  </si>
  <si>
    <t>MENDOZA GOSME MICHEL</t>
  </si>
  <si>
    <t>PEREZ SANCHEZ ANDRES</t>
  </si>
  <si>
    <t>FONDO DEL ESTADO</t>
  </si>
  <si>
    <t>• Bien Inmueble ubicado en Lote N°04, Manzana “X” del AA. HH Bajo Pichanaqui, Distrito de Pichanaqui, Provincia de Chanchamayo, Región de Junín, con un área/extensión de 275.00 m2; inscrito en la Partida Electrónica N° 11034999– del Registro de Propiedad Inmueble de la Oficina Registral SATIPO, Zona Registral N.º VIII -Sede Huancayo, hasta por la suma de S/ 82,000.00 (OCHENTA Y DOS MIL CON 00/100 SOLES) sobre el 100 % de la propiedad que le corresponde a MENDOZA GOSME MICHEL.</t>
  </si>
  <si>
    <t>EMBARGO CON FINANCIERA PRO EMPRESA Y EL PRIMER PREFRENTE ES CON CAMAQ AREQUIPA</t>
  </si>
  <si>
    <t>00203-2025-0-3401-JP-CI-01</t>
  </si>
  <si>
    <t>PROPIEDAD YA NO PERTENECE A LOS EJECUTADOS</t>
  </si>
  <si>
    <t>23.09.2025</t>
  </si>
  <si>
    <t>SE FORMALIZO DEMANDA</t>
  </si>
  <si>
    <t>00103-2025.-15-3404-JR-CI-01</t>
  </si>
  <si>
    <t>25.09.2025</t>
  </si>
  <si>
    <t>00189-2025-6-3404-JP-CI-01</t>
  </si>
  <si>
    <t xml:space="preserve">• Bien Inmueble ubicado en Predio El Progreso I Sector Miricharo, Distrito de Perene, Provincia de Chanchamayo y Región de Junín, con un área/extensión de 1.8017 ha; inscrito en la Partida Electrónica N° 11023581– del Registro de Propiedad Inmueble de la Oficina Registral LA MERCED, Zona Registral Nº VIII -Sede Huancayo, hasta por la suma de S/. 18,500.00 (DIECIOCHO MIL QUINIENTOS CON 00/100 SOLES) sobre el 100 % de la propiedad que le corresponde a PEREZ SANCHEZ ANDRES.
• Bien Inmueble ubicado en Predio El Progreso II Sector Miricharo, Distrito de Perene, Provincia de Chanchamayo y Región de Junín, con un área/extensión de 0.3765 ha; inscrito en la Partida Electrónica N° 11023582– del Registro de Propiedad Inmueble de la Oficina Registral LA MERCED, Zona Registral Nº VIII -Sede Huancayo, hasta por la suma de S/ 18,500.00 (DIECIOCHO MIL QUINIENTOS CON 00/100 SOLES) sobre el 100 % de la propiedad que le corresponde a PEREZ SANCHEZ ANDRES.
</t>
  </si>
  <si>
    <t>11023581/11023582</t>
  </si>
  <si>
    <t>EMBARGO CON EDPYME</t>
  </si>
  <si>
    <t>PARTIDA 11023582 EXCLUSIVO</t>
  </si>
  <si>
    <t>17.09.2025</t>
  </si>
  <si>
    <t>00034-2025-2-3402-JP-CO-01</t>
  </si>
  <si>
    <t>16.09.2025</t>
  </si>
  <si>
    <t>DERECHOS Y ACCIONES EXPECTATICIOS</t>
  </si>
  <si>
    <t>03.10.2025</t>
  </si>
  <si>
    <t>30.09.2025</t>
  </si>
  <si>
    <t>00038-2025-0-3402-JP-CO-01</t>
  </si>
  <si>
    <t>RODRIGUEZ RAMIREZ LUIS FELIPE</t>
  </si>
  <si>
    <t>PRESENTACION DE DEMANDA</t>
  </si>
  <si>
    <t>00041-2025-0-3402-JP-CO-01</t>
  </si>
  <si>
    <t>CORDOVA ARRIETA ERICK EDSON</t>
  </si>
  <si>
    <t>01.10.2025</t>
  </si>
  <si>
    <t>06.10.2025</t>
  </si>
  <si>
    <t>SOBRECARTESE LA NOTIFICACION A LOS DEMANDADOS - SE ADJUNTO CROQUIS DE LA NUEVA DIRECCION DE LOS DEUDORES</t>
  </si>
  <si>
    <t xml:space="preserve">SE CONSIENTA AUTO FINAL </t>
  </si>
  <si>
    <t>SE SUPENDE PROCESO POR TERCERIA</t>
  </si>
  <si>
    <t xml:space="preserve">SE SUSPENDIO POR TERCERIA </t>
  </si>
  <si>
    <t>SE SOLICITO SE CONSIENTA Y SE INICIE EJECUCION</t>
  </si>
  <si>
    <t>00122-2025-0-3404-JP-CI-01</t>
  </si>
  <si>
    <t xml:space="preserve">SOLICITE SE CONSIENTA Y SE INICIE EJECUCION </t>
  </si>
  <si>
    <t>29.09.2025</t>
  </si>
  <si>
    <t>06.08.2025</t>
  </si>
  <si>
    <t>SE PRESENTO REINTEGRO POR TASA DE REMATE</t>
  </si>
  <si>
    <t>CUMPLO MANDATO</t>
  </si>
  <si>
    <t>13.10.2025</t>
  </si>
  <si>
    <t>14.10.2025</t>
  </si>
  <si>
    <t>00039-2025-0-3402-JP-CO-01</t>
  </si>
  <si>
    <t>07.10.2025</t>
  </si>
  <si>
    <t>DIPAS RONDINEL DE QUISPE GABINA</t>
  </si>
  <si>
    <t xml:space="preserve">SELVA CENTRAL </t>
  </si>
  <si>
    <t>• Bien Inmueble ubicado en Lote N°04 de la Mz “X” del C.U.I del Sector Naranjal del Distrito de San Ramon, Provincia de Chanchamayo, Región de Junín, con un área/extensión de 1,233.13 m2; inscrito en la Partida Electrónica N° 11075842 – del Registro de Propiedad Inmueble de la Oficina Registral LA MERCED, Zona Registral N.º VIII -Sede Huancayo, 2.• Bien Inmueble ubicado en Lote N°05 de la Mz “X” del Centro Urbano Informal “Naranjal” del Distrito de San Ramon, Provincia de Chanchamayo, Región de Junín, con un área/extensión de 1,234.03 m2; inscrito en la Partida Electrónica N° 11044344 – del Registro de Propiedad Inmueble de la Oficina Registral LA MERCED, Zona Registral N.º VIII -Sede Huancayo. 3. • Bien Inmueble ubicado en Av. Calmell del Solar Distrito y Provincia de Huancayo, Región de Junín, con un área/extensión de 840.00 m2; inscrito en la Partida Electrónica N° 02022074 – del Registro de Propiedad Inmueble de la Oficina Registral HUANCAYO, Zona Registral N.º VIII -Sede Huancayo.</t>
  </si>
  <si>
    <t>11075842/11044344/02022074</t>
  </si>
  <si>
    <t>10.10.2025</t>
  </si>
  <si>
    <t>09.10.2025</t>
  </si>
  <si>
    <t>23.10.2025</t>
  </si>
  <si>
    <t>22.10.2025</t>
  </si>
  <si>
    <t>SE DECLARO CONSENTIDA</t>
  </si>
  <si>
    <t>21.10.2025</t>
  </si>
  <si>
    <t>20.10.2025</t>
  </si>
  <si>
    <t>00040-2025-0-3402-JP-CO-01</t>
  </si>
  <si>
    <t>16.10.2025</t>
  </si>
  <si>
    <t>SE APERSONO AL CUADERNO CAUTELAR</t>
  </si>
  <si>
    <t>113-2025-96-3402-JP-CI-01</t>
  </si>
  <si>
    <t>• Bien Inmueble ubicado en Sector Torrebamba, Distrito Chontabamba, Provincia de Oxapampa, Región de Pasco, con un área/extensión de 1.3598 Ha; inscrito en la Partida Electrónica N° 11069924 – del Registro de Propiedad Inmueble de la Oficina Registral LA MERCED, Zona Registral Nº VIII -Sede Huancayo,</t>
  </si>
  <si>
    <t>EXCLUSIVO Y ACCIONES Y DERECHOS</t>
  </si>
  <si>
    <t>TARAZONA SOTO JHOEL</t>
  </si>
  <si>
    <t>MINAYA TORRES EDER</t>
  </si>
  <si>
    <t>CCAHUANCAMA BAZAN ROXANA</t>
  </si>
  <si>
    <t>24.10.2025</t>
  </si>
  <si>
    <t>73670370</t>
  </si>
  <si>
    <t>• Bien Inmueble ubicado en Lote N°08 de la Mazana “J” de la “PRADERA AZUL ASOCIACION DE VIVIENDA” ubicado en el sector la Esperanza – Miraflores, Distrito Oxapampa, Provincia de Oxapampa, Región de Pasco, con un área/extensión de 200.00 m2; inscrito en la Partida Electrónica N° 11085266 – del Registro de Propiedad Inmueble de la Oficina Registral LA MERCED, Zona Registral Nº VIII -Sede Huancayo.</t>
  </si>
  <si>
    <t>43044542</t>
  </si>
  <si>
    <t xml:space="preserve">. bien inmueble ubicado en Lote 01 de la Manzana F, del sector San Alberto del Distrito y Provincia de Oxapampa - Pasco, el mismo que se encuentra inscrito en la Partida N.º 11094026 del registro de predios de la Oficina Registral de la Selva Central – La Merced - Zona Registral Nro. VIII – SEDE HUANCAYO. </t>
  </si>
  <si>
    <t>• Bien Inmueble ubicado en Calle Huánuco N°156 – 160 de la ciudad de Tarma, Distrito de Tarma, Provincia de Tarma, Región de Junín, con un área/extensión de 476.00 m2; inscrito en la Partida Electrónica N° 07000241 – del Registro de Propiedad Inmueble de la Oficina Registral de TARMA, Zona Registral N.º VIII -Sede Huancayo.</t>
  </si>
  <si>
    <t>00204-2025-82-1509-JP-CO-01</t>
  </si>
  <si>
    <t>CRISPIN C ORDOVA PATZI KEYKO</t>
  </si>
  <si>
    <t>00120-2025-2-3402-JP-CI-01</t>
  </si>
  <si>
    <t>00032-2025-0-3402-JM-CI-01</t>
  </si>
  <si>
    <t>JULIAN AYALA ABRAM LIIE</t>
  </si>
  <si>
    <t>SOTELO FLORES ROIO ISABEL</t>
  </si>
  <si>
    <t>04.11.2025</t>
  </si>
  <si>
    <t>12.11.2025</t>
  </si>
  <si>
    <t>31.10.2025</t>
  </si>
  <si>
    <t>27.10.2025</t>
  </si>
  <si>
    <t>PINO CASTILLO YOEL</t>
  </si>
  <si>
    <t>ZUASNABAR QUISPE MYLEDHY</t>
  </si>
  <si>
    <t>QUISPE APONTE EDIKA</t>
  </si>
  <si>
    <t>00494-2025-81-3401-JR-CI-01</t>
  </si>
  <si>
    <t>• Bien Inmueble ubicado Sub Lote 09-A, de la Mz “J”, Ubicado en la Lotización Jose Carlos Mariátegui del Distrito y provincia de Chanchamayo, Región Junín, con un área/extensión de 161.53.00 m2; inscrito en la Partida Electrónica N° 11108803 – del Registro de Propiedad Inmueble de la Oficina Registral LA MERCED, Zona Registral N.º VIII -Sede Huancayo.</t>
  </si>
  <si>
    <t>11.11.2025</t>
  </si>
  <si>
    <t xml:space="preserve">S/.                  39,585.47 </t>
  </si>
  <si>
    <t xml:space="preserve">S/. 51,108.39 </t>
  </si>
  <si>
    <t xml:space="preserve">S/.                    48,701.54 </t>
  </si>
  <si>
    <t>20.11.2025</t>
  </si>
  <si>
    <t>VASQUEZ CABEZAS ANGELICA</t>
  </si>
  <si>
    <t>PAREJAS JUSCAMAYTA SUSY</t>
  </si>
  <si>
    <t>MULLIHUARA BALDEON EPIFANIA</t>
  </si>
  <si>
    <t>JUZGADO CIVIL DE CHANCHAMAYO</t>
  </si>
  <si>
    <t>00532-2025-0-3401-JR-CI-01</t>
  </si>
  <si>
    <t>bien inmueble ubicado en Mz A Lote 28 Urb. El Belen, Distrito de San Ramon, Provincia de Chanchamayo, Región Junín, el mismo que se encuentra inscrito en la Partida Nº 11112148 del registro de predios de la Oficina Registral de LA MERCED – Zona Registral Nro. VIII – SEDE HUANCAYO.</t>
  </si>
  <si>
    <t>03.12.2025</t>
  </si>
  <si>
    <t>04307347</t>
  </si>
  <si>
    <t>00221-2025-86-3404-JP-CI-01</t>
  </si>
  <si>
    <t>• Bien Inmueble ubicado en Mz A sub-Lote 10 -B del Centro Poblado Ninabamba, Distrito de Pichanaqui, Provincia de Chanchamayo, Región de Junín, con un área/extensión de 8,010.44 m2; inscrito en la Partida Electrónica N° 11067864 – del Registro de Propiedad Inmueble de la Oficina Registral SATIPO, Zona Registral N.º VIII -Sede Huancayo</t>
  </si>
  <si>
    <t>00221-2025-0-3404-JP-CI-01</t>
  </si>
  <si>
    <t>HIPOTECA CAMAC HUANCAYO / EMBARGO BBVVA</t>
  </si>
  <si>
    <t>25.11.2025</t>
  </si>
  <si>
    <t>26.11.2025</t>
  </si>
  <si>
    <t>27.11.2025</t>
  </si>
  <si>
    <t>00222-2025-75-3404-JP-CI-01</t>
  </si>
  <si>
    <t>VELASQUEZ FERNANDEZ RICARDO</t>
  </si>
  <si>
    <t>00217-2025-46-3404-JP-CI-01</t>
  </si>
  <si>
    <t>00218-2025-4-3404-JP-CI-01</t>
  </si>
  <si>
    <t>• Bien Inmueble ubicado en Centro Poblado San Antonio Alto Pichanaki Mz C Lote 8, Distrito de Perene, Provincia de Chanchamayo, Región de Junín, con un área/extensión de 223.9 m2; inscrito en la Partida Electrónica N° P43006539 – del Registro de Propiedad Inmueble de la Oficina Registral LA MERCED, Zona Registral N.º VIII -Sede Huancayo</t>
  </si>
  <si>
    <t>P43006539</t>
  </si>
  <si>
    <t>00219-2025-64-3404-JP-CI-01</t>
  </si>
  <si>
    <t xml:space="preserve">• Bien Inmueble ubicado en Calle Alfonso Ugarte Mz B Lote 10 Urb. Junta Vecinal María Quevedo - Jorge Chávez , Distrito de Satipo, Provincia de Satipo, Región de Junín, con un área/extensión de 242.58 m2; inscrito en la Partida Electrónica N° 11007477 – del Registro de Propiedad Inmueble de la Oficina Registral SATIPO, Zona Registral N.º VIII -Sede Huancayo, </t>
  </si>
  <si>
    <t>EMBARGO PROEMPRESA</t>
  </si>
  <si>
    <t>JINES SAQUICORAY GISELA ISABEL</t>
  </si>
  <si>
    <t>PERENE</t>
  </si>
  <si>
    <t>04.12.2025</t>
  </si>
  <si>
    <t>SE CORRE TRASLADO EL INFORME PERICIAL</t>
  </si>
  <si>
    <t>17.10.2025</t>
  </si>
  <si>
    <t>01.12.2025</t>
  </si>
  <si>
    <t>CUMPLAN CON REALIZAR EL PERITAJE</t>
  </si>
  <si>
    <t>00106-2025-0-3407-JP-CI-01</t>
  </si>
  <si>
    <t>24.11.2025</t>
  </si>
  <si>
    <t xml:space="preserve">ACCIONES Y DERECHOS </t>
  </si>
  <si>
    <t>18.12.2025</t>
  </si>
  <si>
    <t>17.12.2025</t>
  </si>
  <si>
    <t>16.12.2025</t>
  </si>
  <si>
    <t>CUMPLAN CON PRESENTAR SU INFORME PERICIAL</t>
  </si>
  <si>
    <t>10.12.2025</t>
  </si>
  <si>
    <t>13.12.2025</t>
  </si>
  <si>
    <t>00333-2025-0-3402-JM-CI-01</t>
  </si>
  <si>
    <t>ANGLAS MEJIA CESAR ADOLFO GRANIZZO</t>
  </si>
  <si>
    <t>MATTOS JUSCAMAYTA JOSE CARLOS</t>
  </si>
  <si>
    <t>15.12.2025</t>
  </si>
  <si>
    <t>ZUASNABAR QUISPE RIJHAR EDWINS</t>
  </si>
  <si>
    <t>29.12.2025</t>
  </si>
  <si>
    <t>00083-2025-0-3404-JR-CI-01</t>
  </si>
  <si>
    <t>44547975</t>
  </si>
  <si>
    <t>30.12.2025</t>
  </si>
  <si>
    <t>22.12.2025</t>
  </si>
  <si>
    <t>07.01.2026</t>
  </si>
  <si>
    <t>00105-2025-0-3407-JP-CI-01</t>
  </si>
  <si>
    <t>=D23&amp;E23</t>
  </si>
  <si>
    <t>15.01.2026</t>
  </si>
  <si>
    <t>11.12.2025</t>
  </si>
  <si>
    <t>10.11.2025</t>
  </si>
  <si>
    <t>4.12.2025</t>
  </si>
  <si>
    <t>09.01.2026</t>
  </si>
  <si>
    <t>SE FORMALIZO DE LA DEMANDA</t>
  </si>
  <si>
    <t>SE ADMITIÓ LA DEMANDA</t>
  </si>
  <si>
    <t>06.01.2026</t>
  </si>
  <si>
    <t>SOLICITA SE EMITA EL AUTO FINAL</t>
  </si>
  <si>
    <t>SOLICITADO POR EL RECURRENTE OFICIESE A LA DIRECCIÓN GENERAL DE TRÁNSITO PNP</t>
  </si>
  <si>
    <t>19.01.2026</t>
  </si>
  <si>
    <t>SOLICITA APERCIBIMIENTO</t>
  </si>
  <si>
    <t>12.01.2026</t>
  </si>
  <si>
    <t>CORREGIR DE OFICIO EL AUTO FINAL</t>
  </si>
  <si>
    <t xml:space="preserve">                                                                                                                                                                                                                                                                                                                                                                                                                                                                                                                                                                                                                                                                                           </t>
  </si>
  <si>
    <t>SE SOLICITA SE CONSIENTA EL AUTO FINAL</t>
  </si>
  <si>
    <t>SE ADMITE LA DEMANDA</t>
  </si>
  <si>
    <t>SE DECLARE CONSENTIDA EL AUTO FINAL</t>
  </si>
  <si>
    <t>02.01.2026</t>
  </si>
  <si>
    <t>SE SOLICITA Y SE CONSIENTA EL AUTO FINAL</t>
  </si>
  <si>
    <t>0004-2026-0-3404-JP-CI-01</t>
  </si>
  <si>
    <t>EN EL OTRO PROCESO TIENE MC</t>
  </si>
  <si>
    <t>ACUERDO DE PAGO</t>
  </si>
  <si>
    <t>SE CONSINTIÓ EL AUTO FINAL</t>
  </si>
  <si>
    <t>PENDIENTE QUE SE NOTIFIQUE A LA PARTE DEMANDADA</t>
  </si>
  <si>
    <t>16.01.2026</t>
  </si>
  <si>
    <t>13.01.2026</t>
  </si>
  <si>
    <t>08.01.2026</t>
  </si>
  <si>
    <t>SE IMPUGNA EL RECURSO DE CASACIÓN</t>
  </si>
  <si>
    <t>SE SOLICITA SE CONSIENTA EL AUTO Y ORDENE REMATE DEL BIEN</t>
  </si>
  <si>
    <t>20.01.02026</t>
  </si>
  <si>
    <t>FECHA DE PRESENTACIÓN DEL TITULO EN RRPP</t>
  </si>
  <si>
    <t>ASIENTO DE INSCRIPCION</t>
  </si>
  <si>
    <t>SIMBROM LUNA ELIZABETH</t>
  </si>
  <si>
    <t>CHIPANA ESCOBAL CELESTINO</t>
  </si>
  <si>
    <t>COFIDE</t>
  </si>
  <si>
    <t>23.01.2025</t>
  </si>
  <si>
    <t>00013-2026-41-3401-JP-CI-01</t>
  </si>
  <si>
    <t>HUAMAN ALDANA YULISA YESMIN</t>
  </si>
  <si>
    <t xml:space="preserve">•	Bien Inmueble ubicado Mz D Lote 11 Sector Pampa del Carmen – Chanchamayo- Chanchamayo - Junín, con un área/extensión de 99.68 m2; inscrito en la Partida Electrónica N° 11095869 – del Registro de Propiedad Inmueble de la Oficina Registral SELVA CENTRAL, Zona Registral N.º VIII -Sede La Merced, </t>
  </si>
  <si>
    <t>23.01.2026</t>
  </si>
  <si>
    <t>29.01.2026</t>
  </si>
  <si>
    <t>0006-2026-37-3408-JP-CI-01</t>
  </si>
  <si>
    <t>ARAUJO ALVARADO CARLOS ALFREDO</t>
  </si>
  <si>
    <t>27.01.2025</t>
  </si>
  <si>
    <t>21.01.2026</t>
  </si>
  <si>
    <t>SE DECALRO IMPROCEDENTE MC DE SECUESTRO</t>
  </si>
  <si>
    <t>SE NOTIFIQUE LA MC A LOS EJECUTADOS</t>
  </si>
  <si>
    <t>22.01.2026</t>
  </si>
  <si>
    <t>D0001</t>
  </si>
  <si>
    <t>BIEN INMUEBLE UBICADO EN EL CENTRO POBLADO SATIPO, MANZANA 1C SUB LOTE 28--A, DISTRITO Y PROVINCIA DE SATIPO, DEPARTAMENTO DE JUNIN, CON UNA EXTENSION DE 95.85 M2, CON PARTIDA ELECTRONICA N°P42006888 DE LA OFICINA REGISTRAL DE SATIPO - ZONA REGISTRAL N°VIII - SEDE HUANCAYO.</t>
  </si>
  <si>
    <t>°P42006888</t>
  </si>
  <si>
    <t>14.03.2025</t>
  </si>
  <si>
    <t>03.02.2025</t>
  </si>
  <si>
    <t>0009</t>
  </si>
  <si>
    <t>28.10.2024</t>
  </si>
  <si>
    <t>30.01.2025</t>
  </si>
  <si>
    <t>30.01.2026</t>
  </si>
  <si>
    <t>D000002</t>
  </si>
  <si>
    <t>D00001</t>
  </si>
  <si>
    <t>D00002/D0002</t>
  </si>
  <si>
    <t>DERECHOS EXPECTATICIOS/EXCLUSIVO</t>
  </si>
  <si>
    <t>YALIO GRIJALVA ULISES REYNALDO</t>
  </si>
  <si>
    <t>PILLACA MERCADO HILDA</t>
  </si>
  <si>
    <t>05.02.2026</t>
  </si>
  <si>
    <t>D0003</t>
  </si>
  <si>
    <t>21.01.2025</t>
  </si>
  <si>
    <t>11.02.2025</t>
  </si>
  <si>
    <t>06.02.2026</t>
  </si>
  <si>
    <t>0003</t>
  </si>
  <si>
    <t>11.02.2026</t>
  </si>
  <si>
    <t>00034-2025-0-3402-JP-CO-01</t>
  </si>
  <si>
    <t>00204-2025-0-1509-JP-CO-01</t>
  </si>
  <si>
    <t>13.02.2026</t>
  </si>
  <si>
    <t>se nombro nuevos peritos</t>
  </si>
  <si>
    <t>16.02.2026</t>
  </si>
  <si>
    <t>00266-2025-0-3402-JM-CI-01</t>
  </si>
  <si>
    <t>00267-2025-0-3402-JM-CI-01</t>
  </si>
  <si>
    <t>17.02.2026</t>
  </si>
  <si>
    <t>10.02.2026</t>
  </si>
  <si>
    <t>04.02.2026</t>
  </si>
  <si>
    <t>09.09.2025</t>
  </si>
  <si>
    <t>SE NOTIFIQUE LA MC</t>
  </si>
  <si>
    <t>03.02.2026</t>
  </si>
  <si>
    <t xml:space="preserve">SE NOTIFIQUE </t>
  </si>
  <si>
    <t>02.02.2026</t>
  </si>
  <si>
    <t>00103-2025-0-3404-JR-CI-01</t>
  </si>
  <si>
    <t>30.10.2025</t>
  </si>
  <si>
    <t>00088-2025-0-3404-JR-CI-01</t>
  </si>
  <si>
    <t>23.02.2026</t>
  </si>
  <si>
    <t>12.02.2026</t>
  </si>
  <si>
    <t>27.01.2026</t>
  </si>
  <si>
    <t>D003</t>
  </si>
  <si>
    <t>D0001/D00017D0002</t>
  </si>
  <si>
    <t>00333-2025-74-3402-JM-CI-01</t>
  </si>
  <si>
    <t>20.02.2026</t>
  </si>
  <si>
    <t>MEDIDA CAUTELAR DE ANOTACION DE DEMANDA</t>
  </si>
  <si>
    <t>00494-2025-0-3401-JR-CI-01</t>
  </si>
  <si>
    <t>17.11.2025</t>
  </si>
  <si>
    <t>NO SE DEMANDO POR LA CUANTIA</t>
  </si>
  <si>
    <t>HUAMALI DIAZ MIGUEL</t>
  </si>
  <si>
    <t>EMSERMUL E&amp;L S.A.C</t>
  </si>
  <si>
    <t>OYIYA PAREDES GRIMALDO</t>
  </si>
  <si>
    <t>TAPIA HURTADO EDUARDO DEMETRIO</t>
  </si>
  <si>
    <t>HUATUCO CHAVEZ BERTONY JHONATHAN</t>
  </si>
  <si>
    <t>AQUINO ESPINAL VDA DE GUERRERO</t>
  </si>
  <si>
    <t xml:space="preserve">•	Bien Inmueble ubicado en Sub Lote C , Av San Martin 1085, Distrito y Provincia de Oxapampa, Región de Pasco, con un área/extensión de 158.87 m2; inscrito en la Partida Electrónica N° 11062103 – del Registro de Propiedad Inmueble de la Oficina Registral LA MERCED, </t>
  </si>
  <si>
    <t xml:space="preserve">•	Bien Inmueble ubicado en Lote N°08 de la MZ “D”, ubicado en el sector La Esperanza Miraflores, Distrito y Provincia de Oxapampa, Región de Pasco, con un área/extensión de 197.50 m2; inscrito en la Partida Electrónica N° 11081506 – del Registro de Propiedad Inmueble de la Oficina Registral LA MERCED, </t>
  </si>
  <si>
    <t>•	Bien Inmueble ubicado en Proyecto de adjudicación Tupac Amaru, Buenos Aires, Canan I Etapa - Lote A, Distrito de Perene, Provincia de Chanchamayo, Región Junín, con un área/extensión de 75.00 Has. - 7,000.00 m2; inscrito en la Partida Electrónica N°11027016 – del Registro de Propiedad inmueble de la Oficina Registral SELVA CENTRAL, Zona Registral N.º VIII -Sede La Merced</t>
  </si>
  <si>
    <t>LA FLORIDA HIPOTECA</t>
  </si>
  <si>
    <t xml:space="preserve">  </t>
  </si>
  <si>
    <t>11089191/ 11015445</t>
  </si>
  <si>
    <t>PRIMER /SEGUNDO</t>
  </si>
  <si>
    <t>COPERATIVA DE PRODUCTORES DE CAFÉ PERU SAC</t>
  </si>
  <si>
    <t>EXLUSICO / ACCIONES Y DERECHOS</t>
  </si>
  <si>
    <t>00013-2026-0-3401-JP-CI-01</t>
  </si>
  <si>
    <t>00189-2025-0-3404-JP-CI-01</t>
  </si>
  <si>
    <t>113-2025-0-3402-JP-CI-01</t>
  </si>
  <si>
    <t>00082-2025-0-3407-JP-CI-01</t>
  </si>
  <si>
    <t>00082-2025-66-3407-JP-CI-01</t>
  </si>
  <si>
    <t>00532-2025-71-3401-JR-CI-01</t>
  </si>
  <si>
    <t>26.01.2026</t>
  </si>
  <si>
    <t>02.03.2026</t>
  </si>
  <si>
    <t>CREDITO IMPULSA</t>
  </si>
  <si>
    <t>00218-2025-0-3404-JP-CI-01</t>
  </si>
  <si>
    <t>00217-2025-0-3404-JP-CI-01</t>
  </si>
  <si>
    <t>00146-2025-0-3404-JP-CI-01</t>
  </si>
  <si>
    <t>00123-2025-0-3404-JP-CI-01</t>
  </si>
  <si>
    <t>0035-2025-0-3402-JP-CO-01</t>
  </si>
  <si>
    <t>0027-2026-83-3402-JP-CI-01</t>
  </si>
  <si>
    <t xml:space="preserve">CHACON GUTARRA LUIS HUMBERTO </t>
  </si>
  <si>
    <t>00026-2026-1-3402-JP-CI-01</t>
  </si>
  <si>
    <t>03.3.2026</t>
  </si>
  <si>
    <t>0045-2026-87-3402-JM-CI-01</t>
  </si>
  <si>
    <t>06.03.2026</t>
  </si>
  <si>
    <t>10.03.2026</t>
  </si>
  <si>
    <t>POMACHAGUA KOELL NOLAN</t>
  </si>
  <si>
    <t>CASTILLO SACHA CELIA</t>
  </si>
  <si>
    <t>IMPULSA</t>
  </si>
  <si>
    <t xml:space="preserve">PORQUE NO FIGURA EN LA CENTRAL DE RIESGOS LA CAJA HUANCAYO </t>
  </si>
  <si>
    <t>09.03.2026</t>
  </si>
  <si>
    <t>01.12.2026</t>
  </si>
  <si>
    <t xml:space="preserve"> • Bien Inmueble ubicado en Predio Santa Aurora I, Sector Villa Luz, Distrito de Rio Negro, Provincia de Satipo, Región de Junín, con un área/extensión de 1.6781 Ha; inscrito en la Partida Electrónica N° 11076064 – del Registro de Propiedad Inmueble de la Oficina Registral SATIPO, Zona Registral N.º VIII -Sede Huancayo </t>
  </si>
  <si>
    <t>/11076064/</t>
  </si>
  <si>
    <t>NOMBRE DEL CLIENTE</t>
  </si>
  <si>
    <t>24.03.2026</t>
  </si>
  <si>
    <t>23.03.2026</t>
  </si>
  <si>
    <t>00219-2025-0-3404-JP-CI-01</t>
  </si>
  <si>
    <t>S/. 20,181.97</t>
  </si>
  <si>
    <t>16.03.2025</t>
  </si>
  <si>
    <t>CONTESTO LA DEMANDA PERO ESTA PENDIENTE SUBSANACION</t>
  </si>
  <si>
    <t>10.01.2026</t>
  </si>
  <si>
    <t>Bien inmueble ubicado en el Sector María Teresa Fundo “San Miguel”
del distrito de Chontabamba, provincia de Oxapampa, departamento de
Pasco, con un área /extensión de 1.0994 Ha, inscrito en la Partida
Electrónica N° 11069808 del Registro de Propiedad Inmueble de la
Oficina Registral de la Selva Central 2)Bien inmueble ubicado en el Sector María Teresa “San Ignacio” Valle de Chontabamba del distrito de Chontabamba, provincia de Oxapampa,
departamento de Pasco, con un área /extensión de 4.7075 Ha, inscrito en
la Partida Electrónica N° 11069806 del Registro de Propiedad Inmueble
de la Oficina Registral de la Selva Central</t>
  </si>
  <si>
    <t>11069808/11069806</t>
  </si>
  <si>
    <t>13.03.2026</t>
  </si>
  <si>
    <t>CASAS HUAMAN KARINA ISABEL</t>
  </si>
  <si>
    <t>00007-2026-28-3404-JP-CO-01</t>
  </si>
  <si>
    <t>18.03.2026</t>
  </si>
  <si>
    <t>00027-2026-42-3404-JP-CI-01</t>
  </si>
  <si>
    <t>26.03.2026</t>
  </si>
  <si>
    <t>00047-2026-55-3402-JP-CI-01</t>
  </si>
  <si>
    <t>00047-2026-0-3402-JP-CI-01</t>
  </si>
  <si>
    <t>00048-2026-0-3402-JP-CI-01</t>
  </si>
  <si>
    <t>00022-2026-95-3408-JR-CI-01</t>
  </si>
  <si>
    <t>16.03.2026</t>
  </si>
  <si>
    <t>30.03.2026</t>
  </si>
  <si>
    <t>11.03.2026</t>
  </si>
  <si>
    <t>31.03.2026</t>
  </si>
  <si>
    <t>00104-2025-0-3407-JP-CI-01</t>
  </si>
  <si>
    <t>01.04.2026</t>
  </si>
  <si>
    <t>12.03.2026</t>
  </si>
  <si>
    <t>CONFIERE TRASLADO NULIDAD POR TERCERO INTERVINIENTE</t>
  </si>
  <si>
    <t>17.01.2026</t>
  </si>
  <si>
    <t>D0002</t>
  </si>
  <si>
    <t>18.02.2026</t>
  </si>
  <si>
    <t>04.03.2026</t>
  </si>
  <si>
    <t>11062103</t>
  </si>
  <si>
    <t>ACUERDO DE PAGO - CREDITO IMPULSA</t>
  </si>
  <si>
    <t xml:space="preserve">propuesta de venta </t>
  </si>
  <si>
    <t>00222-2025-0-3404-JP-CI-01</t>
  </si>
  <si>
    <t>13.04.2026</t>
  </si>
  <si>
    <t>15.04.2026</t>
  </si>
  <si>
    <t>POSIBLE VENTA</t>
  </si>
  <si>
    <t>0010-2026-46-3408-JP-CI-01</t>
  </si>
  <si>
    <t>•Bien Inmueble ubicado en el sector timarini bajo, predio concordia II, Distrito de Satipo, Provincia de Satipo, Región de Junín, con un área/extensión de 138.23 m2; inscrito en la Partida Electrónica N° 11039950 – del Registro de Propiedad Inmueble de la Oficina Registral SATIPO, Zona Registral N.º VIII -Sede Huancayo</t>
  </si>
  <si>
    <t>FONDO DE VIVIENDA POLICIAL</t>
  </si>
  <si>
    <t>21.04.2026</t>
  </si>
  <si>
    <t>00016-2023-0-3401-JP-CO-01</t>
  </si>
  <si>
    <t>22.04.2026</t>
  </si>
  <si>
    <t xml:space="preserve">se aprobo informe pericial </t>
  </si>
  <si>
    <t>09.04.2026</t>
  </si>
  <si>
    <t xml:space="preserve">se notifique a los ejecutados </t>
  </si>
  <si>
    <t>29.04.2026</t>
  </si>
  <si>
    <t>30.04.2026</t>
  </si>
  <si>
    <t>0045-2026-0-3402-JM-CI-01</t>
  </si>
  <si>
    <t xml:space="preserve">CREDITO VENDIDO </t>
  </si>
  <si>
    <t>27.03.2026</t>
  </si>
  <si>
    <t>03.03.2026</t>
  </si>
  <si>
    <t>00026-2026-0-3402-JP-CI-01</t>
  </si>
  <si>
    <t xml:space="preserve">S/.14,557.94 </t>
  </si>
  <si>
    <t>07.05.2026</t>
  </si>
  <si>
    <t>16.04.2026</t>
  </si>
  <si>
    <t>08.05.2026</t>
  </si>
  <si>
    <t>notifiquese la mc</t>
  </si>
  <si>
    <t>15.05.2026</t>
  </si>
  <si>
    <t>05.05.2026</t>
  </si>
  <si>
    <t>06.05.2026</t>
  </si>
  <si>
    <t>13.05.2026</t>
  </si>
  <si>
    <t xml:space="preserve">apelacion de auto final </t>
  </si>
  <si>
    <t>27.04.2025</t>
  </si>
  <si>
    <t xml:space="preserve">DESASIGNACION DE LOS TRES CREDITO </t>
  </si>
  <si>
    <t>26.05.2026</t>
  </si>
  <si>
    <t>D00002</t>
  </si>
  <si>
    <t>credito impulsa, solo se puede refinanciar o pagar el total</t>
  </si>
  <si>
    <t>19.05.2026</t>
  </si>
  <si>
    <t>0027-2026-0-3402-JP-CI-01</t>
  </si>
  <si>
    <t>ROJAS CAMACHO DAGOBERTO ELIAS</t>
  </si>
  <si>
    <t xml:space="preserve">JUZGADO MIXTO </t>
  </si>
  <si>
    <t>HUAMAN TORRES LUCIO JUNIOR</t>
  </si>
  <si>
    <t>00108-2026-0-3402-JP-CI-01</t>
  </si>
  <si>
    <t>0133-2026-83-3402-JM-CI-01</t>
  </si>
  <si>
    <t>00108-2026-22-3402-JP-CI-01</t>
  </si>
  <si>
    <t>CARHUARICRA HUAMALI SIBION PABLO</t>
  </si>
  <si>
    <t>SELVA CENTTRAL</t>
  </si>
  <si>
    <t>00107-2026-94-3402-JP-CI-01</t>
  </si>
  <si>
    <t>ARHUIZ MATEO LORENA KAROL</t>
  </si>
  <si>
    <t>00106-2026-24-3402-JP-CI-01</t>
  </si>
  <si>
    <t>00109-2026-96-3402-JP-CI-01</t>
  </si>
  <si>
    <t>LEON ZARATE NOEM SONIA</t>
  </si>
  <si>
    <t>PALOMINO CASTRO CYNTHIA MARILI</t>
  </si>
  <si>
    <t>POZO ESTRADA CECILIA</t>
  </si>
  <si>
    <t>0096-2026-71-3401-JP-CI-01</t>
  </si>
  <si>
    <t xml:space="preserve">BERROCAL CARDENAS SONIA IRENE </t>
  </si>
  <si>
    <t>PEÑA AVILA JOHANNA MERLY</t>
  </si>
  <si>
    <t>00221-2026-6-3401-JR-CI-01</t>
  </si>
  <si>
    <t>REFINANCIADO</t>
  </si>
  <si>
    <t>0006-2026-0-3408-JP-CI-01</t>
  </si>
  <si>
    <t>• Inmueble signado con el Lote 007 de la manzana “C” ubicado en el Cenmtro Poblado Miricharo, del distrito de Perene, Provincia de Chanchamayo, Región Junín, de un área de 194.00 m2, Inscrito en la Partida Nro. 11039628 – oficina Registral de la Merced, con monto de gravamen de US$ 21,697.00 Dólares Americanos.</t>
  </si>
  <si>
    <t xml:space="preserve">S/.     66,651,40 </t>
  </si>
  <si>
    <t>00027-2026-0-3404-JP-CI-01</t>
  </si>
  <si>
    <t>03.06.2026</t>
  </si>
  <si>
    <t>D0002/D0004</t>
  </si>
  <si>
    <t>12.06.2026</t>
  </si>
  <si>
    <t>00022-2026-0-3408-JR-CI-01</t>
  </si>
  <si>
    <t>10.06.2026</t>
  </si>
  <si>
    <t>19.06.2026</t>
  </si>
  <si>
    <t>17.06.2026</t>
  </si>
  <si>
    <t>00120-2025-0-3402-JP-CI-01</t>
  </si>
  <si>
    <t>00012-2026-0-3402-JP-CI-01</t>
  </si>
  <si>
    <t>0009-2025-81-3402-JP-CI-01</t>
  </si>
  <si>
    <t>•	Bien Inmueble ubicado en lote N°11 de la MZ “E” del centro urbano informal “Villa Hermosa”; del Distrito de Chontabamba, Provincia de Oxapampa, Región Pasco, con un área/extensión de 179.62 m2; inscrito de la Partida Electrónica N°11095101 - del Registro de Propiedad inmueble de la Oficina Registral SELVA CENTRAL, Zona Registral N° VIII – Sede La Merced, hasta por la suma de S/14,000.00 SOLES (CATORCE MIL CON 00/100 SOLES) sobre los derechos expectaticios de la propiedad que le corresponde a MATEO GOMEZ ROCIO GLADYS. 
•	Bien Inmueble ubicado en lote N°07 de la MZ “A” de la Asociación de Vivienda DIVINA ESPERANZA, ubicado en el sector la Esperanza – Miraflores, Distrito y Provincia de Oxapampa, Región Pasco, con un área/extensión de 160.68 m2; inscrito de la Partida Electrónica N°11073250 - del Registro de Propiedad inmueble de la Oficina Registral SELVA CENTRAL, Zona Registral N° VIII – Sede La Merced, hasta por la suma de S/14,000.00 SOLES (CATORCE MIL CON 00/100 SOLES) sobre los derechos expectaticios de la propiedad que le corresponde a MATEO GOMEZ ROCIO GLADYS.</t>
  </si>
  <si>
    <t>11095101/11073250</t>
  </si>
  <si>
    <t>15.06.2026</t>
  </si>
  <si>
    <t>00007-2026-0-3404-JP-CO-01</t>
  </si>
  <si>
    <t>HUAMALI DIAZ DARWIN LUIS</t>
  </si>
  <si>
    <t>00116-2026-0-3402-JP-CI-01</t>
  </si>
  <si>
    <t>25.06.2026</t>
  </si>
  <si>
    <t>07.07.2026</t>
  </si>
  <si>
    <r>
      <t>Inmueble ubicado en Lote N°03 de la Mz “A”- de la posesión Informal “CIUDADELA ASHANINKA”, distrito y Provincia de Chanchamayo, Región de Junín, con un área/extensión de 120.20 m2; inscrito en la Partida Electrónica N° 11102702 ;</t>
    </r>
    <r>
      <rPr>
        <sz val="9"/>
        <color indexed="55"/>
        <rFont val="Calibri Light"/>
        <family val="2"/>
      </rPr>
      <t xml:space="preserve"> 2.Inmueble ubicado en Asentamiento Humano San Carlos en Mz 0-2, Lote N°17, calle N°03, Distrito y Provincia de Chanchamayo, Región de Junín, con un área/extensión de 74.80 m2; inscrito en la Partida Electrónica N° 02008969.</t>
    </r>
  </si>
  <si>
    <r>
      <t xml:space="preserve">Bien Inmueble ubicado en UUCC: 8_4558830_035307, predio LOUISE, Sector Nueva Berna, Valle Chontabamba, Distrito Chontabamba, Provincia de Oxapampa, Región de Pasco, con un área/extensión de 0.0217 Ha; inscrito en la Partida Electrónica N° 11008407 – del Registro de Propiedad Inmueble de la </t>
    </r>
    <r>
      <rPr>
        <u/>
        <sz val="9"/>
        <color indexed="55"/>
        <rFont val="Calibri Light"/>
        <family val="2"/>
      </rPr>
      <t xml:space="preserve">Oficina Registral </t>
    </r>
    <r>
      <rPr>
        <b/>
        <u/>
        <sz val="9"/>
        <color indexed="55"/>
        <rFont val="Calibri Light"/>
        <family val="2"/>
      </rPr>
      <t>LA MERCED</t>
    </r>
    <r>
      <rPr>
        <sz val="9"/>
        <color indexed="55"/>
        <rFont val="Calibri Light"/>
        <family val="2"/>
      </rPr>
      <t>, Zona Registral Nº VIII -Sede Huancayo</t>
    </r>
  </si>
  <si>
    <r>
      <t xml:space="preserve">Bien Inmueble ubicado en Mz F Lote 04 Urbanización Playa Escondida, ubicado en el sector Rio Negro, distrito de Rio Negro, Provincia de Satipo, Región de Junín, con un área/extensión de 200.40 m2; inscrito en la Partida Electrónica N° 11093212 – del Registro de Propiedad Inmueble de la </t>
    </r>
    <r>
      <rPr>
        <u/>
        <sz val="9"/>
        <color indexed="55"/>
        <rFont val="Calibri Light"/>
        <family val="2"/>
      </rPr>
      <t xml:space="preserve">Oficina Registral </t>
    </r>
    <r>
      <rPr>
        <b/>
        <u/>
        <sz val="9"/>
        <color indexed="55"/>
        <rFont val="Calibri Light"/>
        <family val="2"/>
      </rPr>
      <t>SATIPO</t>
    </r>
    <r>
      <rPr>
        <sz val="9"/>
        <color indexed="55"/>
        <rFont val="Calibri Light"/>
        <family val="2"/>
      </rPr>
      <t>, Zona Registral N.º VIII -Sede Huancayo,</t>
    </r>
  </si>
  <si>
    <r>
      <rPr>
        <sz val="9"/>
        <color indexed="55"/>
        <rFont val="Calibri Light"/>
        <family val="2"/>
      </rPr>
      <t xml:space="preserve">1)• Bien Inmueble ubicado en Sub Lote N°12-B, Mz “Q” IV Sector, Zona Alta Jr. Jose Balta del Asentamiento Humano Bajo Pichanaqui, Distrito de Satipo, Provincia de Satipo y Región de Junín, con un área/extensión de 267.80 m2; inscrito en la Partida Electrónica N° 02001656– del Registro de Propiedad Inmueble de la Oficina Registral SATIPO, Zona Registral Nº VIII -Sede Huancayo. 2) • Bien Inmueble ubicado en Proyecto de Adjudicación ”Valle Hermoso – Alto Cuyani I Etapa”,  Distrito de Pichanaqui, Provincia de Chanchamayo y Región de Junín, con un área/extensión de 5 Has; inscrito en la Partida Electrónica N° 11019027– del Registro de Propiedad Inmueble de la Oficina Registral SATIPO, Zona Registral Nº VIII -Sede Huancayo, </t>
    </r>
  </si>
  <si>
    <r>
      <t xml:space="preserve">Bien Inmueble ubicado en Lote 14, Mz C de la “PRADERA AZUL ASOCIACION DE VIVIENDA” Sector la Esperanza Miraflores, Distrito Oxapampa, Provincia de Oxapampa, Región de Pasco, con un área/extensión de 170.00 m2; inscrito en la Partida Electrónica N° 11085155 – del Registro de Propiedad Inmueble de la </t>
    </r>
    <r>
      <rPr>
        <u/>
        <sz val="9"/>
        <color indexed="55"/>
        <rFont val="Calibri Light"/>
        <family val="2"/>
      </rPr>
      <t xml:space="preserve">Oficina Registral </t>
    </r>
    <r>
      <rPr>
        <b/>
        <u/>
        <sz val="9"/>
        <color indexed="55"/>
        <rFont val="Calibri Light"/>
        <family val="2"/>
      </rPr>
      <t>LA MERCED</t>
    </r>
    <r>
      <rPr>
        <sz val="9"/>
        <color indexed="55"/>
        <rFont val="Calibri Light"/>
        <family val="2"/>
      </rPr>
      <t xml:space="preserve">, Zona Registral Nº VIII -Sede Huancayo, </t>
    </r>
  </si>
  <si>
    <r>
      <rPr>
        <b/>
        <sz val="9"/>
        <color indexed="55"/>
        <rFont val="Calibri Light"/>
        <family val="2"/>
      </rPr>
      <t>Inmueble ubicado en</t>
    </r>
    <r>
      <rPr>
        <sz val="9"/>
        <color indexed="55"/>
        <rFont val="Calibri Light"/>
        <family val="2"/>
      </rPr>
      <t xml:space="preserve"> el Sector: San Miguel de Eneñas, Valle: Villa Rica, Nombre de Predio: Santa Maria III, del Distrito de Villa Rica, Provincia de Oxapampa, Departamento de Pasco</t>
    </r>
    <r>
      <rPr>
        <b/>
        <sz val="9"/>
        <color indexed="55"/>
        <rFont val="Calibri Light"/>
        <family val="2"/>
      </rPr>
      <t xml:space="preserve">; con un área de 2.0435 Ha, inscrito en la partida electrónica N °11069982 </t>
    </r>
    <r>
      <rPr>
        <sz val="9"/>
        <color indexed="55"/>
        <rFont val="Calibri Light"/>
        <family val="2"/>
      </rPr>
      <t xml:space="preserve">del Registro de Propiedad Inmueble de la </t>
    </r>
    <r>
      <rPr>
        <u/>
        <sz val="9"/>
        <color indexed="55"/>
        <rFont val="Calibri Light"/>
        <family val="2"/>
      </rPr>
      <t xml:space="preserve">Oficina Registral </t>
    </r>
    <r>
      <rPr>
        <b/>
        <u/>
        <sz val="9"/>
        <color indexed="55"/>
        <rFont val="Calibri Light"/>
        <family val="2"/>
      </rPr>
      <t>LA MERCED</t>
    </r>
    <r>
      <rPr>
        <sz val="9"/>
        <color indexed="55"/>
        <rFont val="Calibri Light"/>
        <family val="2"/>
      </rPr>
      <t>, Zona Registral N.º VIII -Sede Huancayo</t>
    </r>
  </si>
  <si>
    <r>
      <t xml:space="preserve">1.- BIEN INMUEBLE UBICADO EN LA MZ J LOTE 6, OXAPAMPA - PASCO - DE UN AREA DE 180.00 M2, CON PARTIDA ELECTRONICA 11078007 -  OFICINA SELVA CENTRAL - SEDE HYO. </t>
    </r>
    <r>
      <rPr>
        <b/>
        <sz val="9"/>
        <color indexed="55"/>
        <rFont val="Calibri Light"/>
        <family val="2"/>
      </rPr>
      <t>2.- BIEN INMUEBLE UBICADO EN LA MZ J LOTE 19, OXAPAMPA - PASCO - DE UN AREA DE 180.00 M2, CON PARTIDA ELECTRONICA 11078020 -  OFICINA SELVA CENTRAL - SEDE HYO.</t>
    </r>
  </si>
  <si>
    <r>
      <t xml:space="preserve">Bien Inmueble ubicado en la Mz 228 Sub Lote A1-6; del distrito de Oxapampa, Provincia de Oxapampa, Región Pasco, con un área/extensión de 155.20 m2; inscrito de la Partida Electrónica N°11108708 </t>
    </r>
    <r>
      <rPr>
        <b/>
        <sz val="9"/>
        <color indexed="55"/>
        <rFont val="Calibri Light"/>
        <family val="2"/>
      </rPr>
      <t xml:space="preserve">- </t>
    </r>
    <r>
      <rPr>
        <sz val="9"/>
        <color indexed="55"/>
        <rFont val="Calibri Light"/>
        <family val="2"/>
      </rPr>
      <t xml:space="preserve">del Registro de Propiedad inmueble de la </t>
    </r>
    <r>
      <rPr>
        <u/>
        <sz val="9"/>
        <color indexed="55"/>
        <rFont val="Calibri Light"/>
        <family val="2"/>
      </rPr>
      <t xml:space="preserve">Oficina Registral </t>
    </r>
    <r>
      <rPr>
        <b/>
        <u/>
        <sz val="9"/>
        <color indexed="55"/>
        <rFont val="Calibri Light"/>
        <family val="2"/>
      </rPr>
      <t>SELVA CENTRAL</t>
    </r>
    <r>
      <rPr>
        <sz val="9"/>
        <color indexed="55"/>
        <rFont val="Calibri Light"/>
        <family val="2"/>
      </rPr>
      <t xml:space="preserve">, Zona Registral N° VIII – Sede La Merced, </t>
    </r>
  </si>
  <si>
    <r>
      <t xml:space="preserve">Bien Inmueble ubicado en lote urbano Jirón Viena, Mz D, Lote 28 Urb. La Aurora, Distrito Oxapampa, Provincia de Oxapampa, Región de Pasco, con un área/extensión de 1.6585 Ha; inscrito en la Partida Electrónica N° 11040880 – del Registro de Propiedad Inmueble de la </t>
    </r>
    <r>
      <rPr>
        <u/>
        <sz val="9"/>
        <color indexed="55"/>
        <rFont val="Calibri Light"/>
        <family val="2"/>
      </rPr>
      <t xml:space="preserve">Oficina Registral </t>
    </r>
    <r>
      <rPr>
        <b/>
        <u/>
        <sz val="9"/>
        <color indexed="55"/>
        <rFont val="Calibri Light"/>
        <family val="2"/>
      </rPr>
      <t>LA MERCED</t>
    </r>
    <r>
      <rPr>
        <sz val="9"/>
        <color indexed="55"/>
        <rFont val="Calibri Light"/>
        <family val="2"/>
      </rPr>
      <t xml:space="preserve">, Zona Registral Nº VIII -Sede Huancayo, </t>
    </r>
  </si>
  <si>
    <r>
      <t xml:space="preserve">Bien Inmueble ubicado en Predio Rural TYZ Sector Bajo Toterani, del Distrito Perene, provincia de Chanchamayo y departamento de Junín, con un área/extensión de 3.5448 ha; inscrito en la Partida Electrónica N° 11116137– del Registro de Propiedad Inmueble de la </t>
    </r>
    <r>
      <rPr>
        <u/>
        <sz val="9"/>
        <color indexed="55"/>
        <rFont val="Calibri Light"/>
        <family val="2"/>
      </rPr>
      <t xml:space="preserve">Oficina Registral </t>
    </r>
    <r>
      <rPr>
        <b/>
        <u/>
        <sz val="9"/>
        <color indexed="55"/>
        <rFont val="Calibri Light"/>
        <family val="2"/>
      </rPr>
      <t>SELVA CENTRAL</t>
    </r>
    <r>
      <rPr>
        <sz val="9"/>
        <color indexed="55"/>
        <rFont val="Calibri Light"/>
        <family val="2"/>
      </rPr>
      <t>, Zona Registral N.º VIII -Sede La Merced</t>
    </r>
  </si>
  <si>
    <r>
      <t xml:space="preserve">Bien Inmueble ubicado en Mz K Lote 07-B AA.HH Bajo Pichanaki – Zona Baja I Sector Pichanaqui, Distrito de Pichanaqui, Provincia de Chanchamayo, Región de Junín, con un área/extensión de 300.00 m2; inscrito en la Partida Electrónica N° 11072992– del Registro de Propiedad Inmueble de la </t>
    </r>
    <r>
      <rPr>
        <u/>
        <sz val="9"/>
        <color indexed="55"/>
        <rFont val="Calibri Light"/>
        <family val="2"/>
      </rPr>
      <t xml:space="preserve">Oficina Registral </t>
    </r>
    <r>
      <rPr>
        <b/>
        <u/>
        <sz val="9"/>
        <color indexed="55"/>
        <rFont val="Calibri Light"/>
        <family val="2"/>
      </rPr>
      <t>SATIPO</t>
    </r>
    <r>
      <rPr>
        <sz val="9"/>
        <color indexed="55"/>
        <rFont val="Calibri Light"/>
        <family val="2"/>
      </rPr>
      <t>, Zona Registral N.º VIII -Sede Huancayo</t>
    </r>
  </si>
  <si>
    <r>
      <t xml:space="preserve">Bien Inmueble ubicado en Lote N°25 de la Mz B del Sector Centro Poblado Los Angeles UBIRIKI, Distrito de Perene, Provincia de Chanchamayo, Región de Junín, con un área/extensión de 345.60 m2; inscrito en la Partida Electrónica N° 11004299 – del Registro de Propiedad Inmueble de la </t>
    </r>
    <r>
      <rPr>
        <u/>
        <sz val="9"/>
        <color indexed="55"/>
        <rFont val="Calibri Light"/>
        <family val="2"/>
      </rPr>
      <t xml:space="preserve">Oficina Registral </t>
    </r>
    <r>
      <rPr>
        <b/>
        <u/>
        <sz val="9"/>
        <color indexed="55"/>
        <rFont val="Calibri Light"/>
        <family val="2"/>
      </rPr>
      <t>LA MERCED</t>
    </r>
    <r>
      <rPr>
        <sz val="9"/>
        <color indexed="55"/>
        <rFont val="Calibri Light"/>
        <family val="2"/>
      </rPr>
      <t>, Zona Registral N.º VIII -Sede Huancayo</t>
    </r>
  </si>
  <si>
    <r>
      <t xml:space="preserve">Bien Inmueble ubicado Centro Poblado Huancabamba Mz J Lote 26, Distrito Huancabamba, Provincia de Oxapampa, Región de Pasco, con un área/extensión de 280.25 m2; inscrito en la Partida Electrónica N° P43007389 – del Registro de Propiedad Inmueble de la </t>
    </r>
    <r>
      <rPr>
        <u/>
        <sz val="9"/>
        <color indexed="55"/>
        <rFont val="Calibri Light"/>
        <family val="2"/>
      </rPr>
      <t xml:space="preserve">Oficina Registral </t>
    </r>
    <r>
      <rPr>
        <b/>
        <u/>
        <sz val="9"/>
        <color indexed="55"/>
        <rFont val="Calibri Light"/>
        <family val="2"/>
      </rPr>
      <t>LA MERCED</t>
    </r>
    <r>
      <rPr>
        <sz val="9"/>
        <color indexed="55"/>
        <rFont val="Calibri Light"/>
        <family val="2"/>
      </rPr>
      <t>, Zona Registral Nº VIII -Sede Huancayo.</t>
    </r>
  </si>
  <si>
    <r>
      <t xml:space="preserve">Bien Inmueble ubicado en el Sector La Victoria Yapaz, predio Fundo Las Rosas, valle Chanchamayo, distrito San Luis de Shuaro, provincia de Chanchamayo, departamento de Junín, con un área/extensión de 2.4666 Ha; inscrito en la Partida Electrónica N°11069670 – del Registro de Propiedad Inmueble de la </t>
    </r>
    <r>
      <rPr>
        <u/>
        <sz val="9"/>
        <color indexed="55"/>
        <rFont val="Calibri Light"/>
        <family val="2"/>
      </rPr>
      <t xml:space="preserve">Oficina Registral SELVA CENTRAL, </t>
    </r>
    <r>
      <rPr>
        <sz val="9"/>
        <color indexed="55"/>
        <rFont val="Calibri Light"/>
        <family val="2"/>
      </rPr>
      <t>Zona Registral N.º VIII -Sede La Merced</t>
    </r>
  </si>
  <si>
    <r>
      <t xml:space="preserve">•	Bien Inmueble ubicado en Mz “N”, Lote N° 187, del centro urbano informal denominado mercado de productores de Pichanaki, Ubicado en el sector Bajo Pichanaki, distrito de Pichanaki y provincia de Chanchamayo, departamento de Junín, con un área/extensión de 30.00 M2; inscrito en la Partida Electrónica N°11089191 – del Registro de Propiedad inmueble de la Oficina Registral SELVA CENTRAL, Zona Registral N.º VIII -Sede SATIPO   </t>
    </r>
    <r>
      <rPr>
        <b/>
        <sz val="9"/>
        <color indexed="55"/>
        <rFont val="Calibri Light"/>
        <family val="2"/>
      </rPr>
      <t>2)•	Bien inmueble ubicado en sector 28 de julio Buenos Aires San Pedro I Etapa, en el distrito de Pichanaqui y provincia de Chanchamayo, departamento de Junín, con un área/extensión de 8 Has. 4,000 M2; inscrito en la Partida Electrónica N°11015445 – del Registro de Propiedad inmueble de la Oficina Registral SELVA CENTRAL, Zona Registral N.º VIII -Sede SATIPO</t>
    </r>
  </si>
  <si>
    <t xml:space="preserve">TIENE OTRO PROCESO CON GARANTIA </t>
  </si>
  <si>
    <t>JUZGADO MIXTO DE OXAPAMPA</t>
  </si>
  <si>
    <t>00162-2026-44-3402-JM-CI-01</t>
  </si>
  <si>
    <t xml:space="preserve">•	Bien Inmueble ubicado en el sector Agua Fresca en el Distrito de Chontabamba, Provincia de Oxapampa, Región Pasco, con un área/extensión de 1.7509 ha; inscrito de la Partida Electrónica N°11069934 - del Registro de Propiedad inmueble de la Oficina Registral SELVA CENTRAL, Zona Registral N° VIII – Sede La Merced, hasta por la suma de S/ 81,000.00 SOLES (OCHENTA Y UN MIL CON 00/100 SOLES) sobre el 100% de la propiedad que le corresponde a HUAMALI VILLANUEVA LUCIO y DIAZ SIQUEIROS LILIANA ROSARIO.
</t>
  </si>
  <si>
    <t>05.06.2026</t>
  </si>
  <si>
    <t>02.07.2026</t>
  </si>
  <si>
    <t xml:space="preserve">CASACION </t>
  </si>
  <si>
    <t>06.07.2026</t>
  </si>
  <si>
    <t>SALA (RECURSO DE CASACION ADMITIERON)</t>
  </si>
  <si>
    <t>01.07.2026</t>
  </si>
  <si>
    <t>16.06.2026</t>
  </si>
  <si>
    <t>09.06.2026</t>
  </si>
  <si>
    <t>SE INGRESO AUTOS A DESPACHO PARA RESOLVER POR LA SALA</t>
  </si>
  <si>
    <t>12.05.2026</t>
  </si>
  <si>
    <t>SE NOTIFICO A LAS PARTES CON  MC DE ANOTACION DE DEMANDA</t>
  </si>
  <si>
    <t>08.07.2026</t>
  </si>
  <si>
    <t>SALAZAR MINAYA VDA VERDE PAOLA</t>
  </si>
  <si>
    <t>00175-2026-52-3402-JM-CI-01</t>
  </si>
  <si>
    <r>
      <t>·</t>
    </r>
    <r>
      <rPr>
        <sz val="7"/>
        <color indexed="55"/>
        <rFont val="Times New Roman"/>
        <family val="1"/>
      </rPr>
      <t xml:space="preserve">         </t>
    </r>
    <r>
      <rPr>
        <sz val="11"/>
        <color indexed="55"/>
        <rFont val="Calibri Light"/>
        <family val="2"/>
      </rPr>
      <t xml:space="preserve">Bien Inmueble ubicado en Jr. Bolivar y Jr. Frey Mz 226 Sub Lote 01 A-2, ubicado en el Distrito y Provincia de Oxapampa, Región Pasco, con un área/extensión de 123.95 m2; inscrito de la Partida Electrónica N°11117255 </t>
    </r>
    <r>
      <rPr>
        <b/>
        <sz val="11"/>
        <color indexed="55"/>
        <rFont val="Calibri Light"/>
        <family val="2"/>
      </rPr>
      <t xml:space="preserve">- </t>
    </r>
    <r>
      <rPr>
        <sz val="11"/>
        <color indexed="55"/>
        <rFont val="Calibri Light"/>
        <family val="2"/>
      </rPr>
      <t xml:space="preserve">del Registro de Propiedad inmueble de la </t>
    </r>
    <r>
      <rPr>
        <u/>
        <sz val="11"/>
        <color indexed="55"/>
        <rFont val="Calibri Light"/>
        <family val="2"/>
      </rPr>
      <t xml:space="preserve">Oficina Registral </t>
    </r>
    <r>
      <rPr>
        <b/>
        <u/>
        <sz val="11"/>
        <color indexed="55"/>
        <rFont val="Calibri Light"/>
        <family val="2"/>
      </rPr>
      <t>SELVA CENTRAL</t>
    </r>
    <r>
      <rPr>
        <sz val="11"/>
        <color indexed="55"/>
        <rFont val="Calibri Light"/>
        <family val="2"/>
      </rPr>
      <t xml:space="preserve">, Zona Registral N° VIII – Sede La Merced, hasta por la suma de </t>
    </r>
    <r>
      <rPr>
        <b/>
        <sz val="11"/>
        <color indexed="55"/>
        <rFont val="Calibri Light"/>
        <family val="2"/>
      </rPr>
      <t xml:space="preserve">S/52,000.00 SOLES (CINCUENTA Y DOS MIL CON 00/100 SOLES) </t>
    </r>
    <r>
      <rPr>
        <sz val="11"/>
        <color indexed="55"/>
        <rFont val="Calibri Light"/>
        <family val="2"/>
      </rPr>
      <t xml:space="preserve">sobre el 100 % </t>
    </r>
    <r>
      <rPr>
        <b/>
        <sz val="11"/>
        <color indexed="55"/>
        <rFont val="Calibri Light"/>
        <family val="2"/>
      </rPr>
      <t xml:space="preserve">de la </t>
    </r>
    <r>
      <rPr>
        <b/>
        <u/>
        <sz val="11"/>
        <color indexed="55"/>
        <rFont val="Calibri Light"/>
        <family val="2"/>
      </rPr>
      <t>propiedad</t>
    </r>
    <r>
      <rPr>
        <b/>
        <sz val="11"/>
        <color indexed="55"/>
        <rFont val="Calibri Light"/>
        <family val="2"/>
      </rPr>
      <t xml:space="preserve"> que le corresponde a</t>
    </r>
    <r>
      <rPr>
        <sz val="11"/>
        <color indexed="55"/>
        <rFont val="Calibri Light"/>
        <family val="2"/>
      </rPr>
      <t xml:space="preserve"> </t>
    </r>
    <r>
      <rPr>
        <b/>
        <sz val="11"/>
        <color indexed="55"/>
        <rFont val="Calibri Light"/>
        <family val="2"/>
      </rPr>
      <t>PAOLA MARGARITA SALAZAR MINAYA VDA DE VERDE.</t>
    </r>
  </si>
  <si>
    <t>02.06.2026</t>
  </si>
  <si>
    <t>SE DE INICIO A EJECUCION FORZADA</t>
  </si>
  <si>
    <t xml:space="preserve">APELACION EN LA SALA </t>
  </si>
  <si>
    <t>APELACION - EN SALA 07.07.2026</t>
  </si>
  <si>
    <t>08.06.2026</t>
  </si>
  <si>
    <t>SE NOTIFIQUE A LAS PARTES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</si>
</sst>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7" formatCode="&quot;S/&quot;\ #,##0.00;[Red]\-&quot;S/&quot;\ #,##0.00"/>
    <numFmt numFmtId="171" formatCode="_-* #,##0.00_-;\-* #,##0.00_-;_-* &quot;-&quot;??_-;_-@_-"/>
    <numFmt numFmtId="178" formatCode="_ * #,##0.00_ ;_ * \-#,##0.00_ ;_ * &quot;-&quot;??_ ;_ @_ "/>
    <numFmt numFmtId="179" formatCode="_-* #,##0.00_-;\-* #,##0.00_-;_-* \-??_-;_-@_-"/>
    <numFmt numFmtId="180" formatCode="_-&quot;S/&quot;* #,##0.00_-;&quot;-S/&quot;* #,##0.00_-;_-&quot;S/&quot;* \-??_-;_-@_-"/>
    <numFmt numFmtId="181" formatCode="&quot;S/.&quot;#,##0.00"/>
    <numFmt numFmtId="182" formatCode="_-&quot;S/.&quot;* #,##0.00_-;&quot;-S/.&quot;* #,##0.00_-;_-&quot;S/.&quot;* \-??_-;_-@"/>
    <numFmt numFmtId="184" formatCode="dd/mm/yyyy;@"/>
  </numFmts>
  <fonts count="21" x14ac:knownFonts="1">
    <font>
      <sz val="11"/>
      <color rgb="FF000000"/>
      <name val="Calibri"/>
      <family val="2"/>
      <charset val="1"/>
    </font>
    <font>
      <sz val="10"/>
      <color indexed="8"/>
      <name val="Arial"/>
      <family val="2"/>
    </font>
    <font>
      <sz val="8"/>
      <name val="Calibri"/>
      <family val="2"/>
      <charset val="1"/>
    </font>
    <font>
      <sz val="9"/>
      <color indexed="55"/>
      <name val="Calibri Light"/>
      <family val="2"/>
    </font>
    <font>
      <u/>
      <sz val="9"/>
      <color indexed="55"/>
      <name val="Calibri Light"/>
      <family val="2"/>
    </font>
    <font>
      <b/>
      <u/>
      <sz val="9"/>
      <color indexed="55"/>
      <name val="Calibri Light"/>
      <family val="2"/>
    </font>
    <font>
      <b/>
      <sz val="9"/>
      <color indexed="55"/>
      <name val="Calibri Light"/>
      <family val="2"/>
    </font>
    <font>
      <sz val="11"/>
      <color indexed="55"/>
      <name val="Calibri Light"/>
      <family val="2"/>
    </font>
    <font>
      <sz val="7"/>
      <color indexed="55"/>
      <name val="Times New Roman"/>
      <family val="1"/>
    </font>
    <font>
      <b/>
      <sz val="11"/>
      <color indexed="55"/>
      <name val="Calibri Light"/>
      <family val="2"/>
    </font>
    <font>
      <u/>
      <sz val="11"/>
      <color indexed="55"/>
      <name val="Calibri Light"/>
      <family val="2"/>
    </font>
    <font>
      <b/>
      <u/>
      <sz val="11"/>
      <color indexed="55"/>
      <name val="Calibri Light"/>
      <family val="2"/>
    </font>
    <font>
      <sz val="11"/>
      <color rgb="FF000000"/>
      <name val="Calibri"/>
      <family val="2"/>
      <charset val="1"/>
    </font>
    <font>
      <b/>
      <sz val="9"/>
      <color rgb="FF000000"/>
      <name val="Calibri Light"/>
      <family val="2"/>
      <scheme val="major"/>
    </font>
    <font>
      <b/>
      <sz val="9"/>
      <color rgb="FFFF0000"/>
      <name val="Calibri Light"/>
      <family val="2"/>
      <scheme val="major"/>
    </font>
    <font>
      <sz val="9"/>
      <color theme="1"/>
      <name val="Calibri Light"/>
      <family val="2"/>
      <scheme val="major"/>
    </font>
    <font>
      <sz val="9"/>
      <color rgb="FF000000"/>
      <name val="Calibri Light"/>
      <family val="2"/>
      <scheme val="major"/>
    </font>
    <font>
      <sz val="9"/>
      <color rgb="FFFF0000"/>
      <name val="Calibri Light"/>
      <family val="2"/>
      <scheme val="major"/>
    </font>
    <font>
      <b/>
      <sz val="9"/>
      <color theme="1"/>
      <name val="Calibri Light"/>
      <family val="2"/>
      <scheme val="major"/>
    </font>
    <font>
      <sz val="11"/>
      <color rgb="FF000000"/>
      <name val="Calibri Light"/>
      <family val="2"/>
    </font>
    <font>
      <sz val="11"/>
      <color rgb="FF000000"/>
      <name val="Symbol"/>
      <family val="1"/>
      <charset val="2"/>
    </font>
  </fonts>
  <fills count="19">
    <fill>
      <patternFill patternType="none"/>
    </fill>
    <fill>
      <patternFill patternType="gray125"/>
    </fill>
    <fill>
      <patternFill patternType="solid">
        <fgColor theme="7" tint="0.39997558519241921"/>
        <bgColor rgb="FFFCE5CD"/>
      </patternFill>
    </fill>
    <fill>
      <patternFill patternType="solid">
        <fgColor theme="7" tint="0.39997558519241921"/>
        <bgColor rgb="FFD9E2F3"/>
      </patternFill>
    </fill>
    <fill>
      <patternFill patternType="solid">
        <fgColor theme="9" tint="-0.249977111117893"/>
        <bgColor rgb="FFFCE5CD"/>
      </patternFill>
    </fill>
    <fill>
      <patternFill patternType="solid">
        <fgColor theme="9" tint="0.39997558519241921"/>
        <bgColor rgb="FFD9E2F3"/>
      </patternFill>
    </fill>
    <fill>
      <patternFill patternType="solid">
        <fgColor theme="5" tint="0.39997558519241921"/>
        <bgColor rgb="FFFCE5CD"/>
      </patternFill>
    </fill>
    <fill>
      <patternFill patternType="solid">
        <fgColor theme="5" tint="0.39997558519241921"/>
        <bgColor indexed="64"/>
      </patternFill>
    </fill>
    <fill>
      <patternFill patternType="solid">
        <fgColor theme="5" tint="0.39997558519241921"/>
        <bgColor rgb="FFFBE4D5"/>
      </patternFill>
    </fill>
    <fill>
      <patternFill patternType="solid">
        <fgColor theme="8" tint="0.39997558519241921"/>
        <bgColor rgb="FFD9D9D9"/>
      </patternFill>
    </fill>
    <fill>
      <patternFill patternType="solid">
        <fgColor theme="0"/>
        <bgColor indexed="64"/>
      </patternFill>
    </fill>
    <fill>
      <patternFill patternType="solid">
        <fgColor theme="9" tint="0.39997558519241921"/>
        <bgColor rgb="FFFCE5CD"/>
      </patternFill>
    </fill>
    <fill>
      <patternFill patternType="solid">
        <fgColor theme="5"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92D050"/>
        <bgColor rgb="FF969696"/>
      </patternFill>
    </fill>
    <fill>
      <patternFill patternType="solid">
        <fgColor rgb="FFC55A11"/>
        <bgColor rgb="FF993300"/>
      </patternFill>
    </fill>
    <fill>
      <patternFill patternType="solid">
        <fgColor rgb="FF00B0F0"/>
        <bgColor rgb="FF33CCCC"/>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style="medium">
        <color indexed="64"/>
      </top>
      <bottom/>
      <diagonal/>
    </border>
  </borders>
  <cellStyleXfs count="4">
    <xf numFmtId="0" fontId="0" fillId="0" borderId="0"/>
    <xf numFmtId="179" fontId="12" fillId="0" borderId="0" applyBorder="0" applyProtection="0"/>
    <xf numFmtId="0" fontId="1" fillId="0" borderId="0">
      <alignment vertical="top"/>
    </xf>
    <xf numFmtId="180" fontId="12" fillId="0" borderId="0" applyBorder="0" applyProtection="0"/>
  </cellStyleXfs>
  <cellXfs count="130">
    <xf numFmtId="0" fontId="0" fillId="0" borderId="0" xfId="0"/>
    <xf numFmtId="0" fontId="0" fillId="0" borderId="0" xfId="0" applyFill="1"/>
    <xf numFmtId="0" fontId="0" fillId="0" borderId="1" xfId="0" applyFill="1" applyBorder="1"/>
    <xf numFmtId="0" fontId="0" fillId="0" borderId="0" xfId="0" applyFill="1" applyAlignment="1">
      <alignment horizontal="center"/>
    </xf>
    <xf numFmtId="0" fontId="0" fillId="0" borderId="1" xfId="0" applyFill="1" applyBorder="1" applyAlignment="1">
      <alignment horizontal="center"/>
    </xf>
    <xf numFmtId="0" fontId="13" fillId="2" borderId="2" xfId="0" applyFont="1" applyFill="1" applyBorder="1" applyAlignment="1">
      <alignment horizontal="center" vertical="center" wrapText="1"/>
    </xf>
    <xf numFmtId="0" fontId="13" fillId="2" borderId="2" xfId="0" applyFont="1" applyFill="1" applyBorder="1" applyAlignment="1">
      <alignment horizontal="left" vertical="center"/>
    </xf>
    <xf numFmtId="0" fontId="13" fillId="2" borderId="2" xfId="0" applyFont="1" applyFill="1" applyBorder="1" applyAlignment="1">
      <alignment horizontal="center" vertical="center"/>
    </xf>
    <xf numFmtId="0" fontId="13" fillId="3" borderId="2" xfId="0" applyFont="1" applyFill="1" applyBorder="1" applyAlignment="1">
      <alignment vertical="center"/>
    </xf>
    <xf numFmtId="0" fontId="14" fillId="2" borderId="2" xfId="0" applyFont="1" applyFill="1" applyBorder="1" applyAlignment="1">
      <alignment horizontal="center" vertical="center"/>
    </xf>
    <xf numFmtId="0" fontId="13" fillId="4" borderId="2" xfId="0" applyFont="1" applyFill="1" applyBorder="1" applyAlignment="1">
      <alignment horizontal="center" vertical="center" wrapText="1"/>
    </xf>
    <xf numFmtId="0" fontId="13" fillId="2" borderId="2" xfId="0" applyFont="1" applyFill="1" applyBorder="1" applyAlignment="1">
      <alignment vertical="center"/>
    </xf>
    <xf numFmtId="0" fontId="13" fillId="2" borderId="2" xfId="0" applyFont="1" applyFill="1" applyBorder="1" applyAlignment="1">
      <alignment vertical="center" wrapText="1"/>
    </xf>
    <xf numFmtId="0" fontId="14" fillId="5" borderId="2" xfId="0" applyFont="1" applyFill="1" applyBorder="1" applyAlignment="1">
      <alignment horizontal="center" vertical="center" wrapText="1"/>
    </xf>
    <xf numFmtId="0" fontId="13" fillId="5" borderId="2" xfId="0" applyFont="1" applyFill="1" applyBorder="1" applyAlignment="1">
      <alignment vertical="center" wrapText="1"/>
    </xf>
    <xf numFmtId="0" fontId="13" fillId="5" borderId="2" xfId="0" applyFont="1" applyFill="1" applyBorder="1" applyAlignment="1">
      <alignment horizontal="center" vertical="center" wrapText="1"/>
    </xf>
    <xf numFmtId="49" fontId="13" fillId="5" borderId="2" xfId="0" applyNumberFormat="1" applyFont="1" applyFill="1" applyBorder="1" applyAlignment="1">
      <alignment horizontal="center" vertical="center"/>
    </xf>
    <xf numFmtId="1" fontId="13" fillId="5" borderId="2" xfId="0" applyNumberFormat="1" applyFont="1" applyFill="1" applyBorder="1" applyAlignment="1">
      <alignment horizontal="center" vertical="center" wrapText="1"/>
    </xf>
    <xf numFmtId="180" fontId="13" fillId="5" borderId="2" xfId="3" applyFont="1" applyFill="1" applyBorder="1" applyAlignment="1" applyProtection="1">
      <alignment horizontal="center" vertical="center" wrapText="1"/>
    </xf>
    <xf numFmtId="0" fontId="13" fillId="5" borderId="2" xfId="0" applyFont="1" applyFill="1" applyBorder="1" applyAlignment="1">
      <alignment horizontal="center" vertical="center"/>
    </xf>
    <xf numFmtId="2" fontId="13" fillId="6" borderId="2" xfId="0" applyNumberFormat="1" applyFont="1" applyFill="1" applyBorder="1" applyAlignment="1">
      <alignment horizontal="center" vertical="center" wrapText="1"/>
    </xf>
    <xf numFmtId="0" fontId="13" fillId="6" borderId="2" xfId="0" applyFont="1" applyFill="1" applyBorder="1" applyAlignment="1">
      <alignment horizontal="center" vertical="center" wrapText="1"/>
    </xf>
    <xf numFmtId="2" fontId="14" fillId="6" borderId="2" xfId="0" applyNumberFormat="1" applyFont="1" applyFill="1" applyBorder="1" applyAlignment="1">
      <alignment horizontal="center" vertical="center"/>
    </xf>
    <xf numFmtId="0" fontId="14" fillId="7" borderId="2" xfId="0" applyFont="1" applyFill="1" applyBorder="1" applyAlignment="1">
      <alignment horizontal="center" vertical="center" wrapText="1"/>
    </xf>
    <xf numFmtId="181" fontId="13" fillId="6" borderId="2" xfId="1" applyNumberFormat="1" applyFont="1" applyFill="1" applyBorder="1" applyAlignment="1" applyProtection="1">
      <alignment horizontal="center" vertical="center" wrapText="1"/>
    </xf>
    <xf numFmtId="0" fontId="14" fillId="6" borderId="2" xfId="0" applyFont="1" applyFill="1" applyBorder="1" applyAlignment="1">
      <alignment horizontal="center" vertical="center" wrapText="1"/>
    </xf>
    <xf numFmtId="14" fontId="13" fillId="6" borderId="2" xfId="0" applyNumberFormat="1" applyFont="1" applyFill="1" applyBorder="1" applyAlignment="1">
      <alignment horizontal="center" vertical="center" wrapText="1"/>
    </xf>
    <xf numFmtId="182" fontId="13" fillId="8" borderId="2" xfId="0" applyNumberFormat="1" applyFont="1" applyFill="1" applyBorder="1" applyAlignment="1">
      <alignment horizontal="center" vertical="center" wrapText="1"/>
    </xf>
    <xf numFmtId="14" fontId="13" fillId="9" borderId="2" xfId="0" applyNumberFormat="1" applyFont="1" applyFill="1" applyBorder="1" applyAlignment="1">
      <alignment horizontal="center" vertical="center" wrapText="1"/>
    </xf>
    <xf numFmtId="0" fontId="13" fillId="9" borderId="2" xfId="0" applyFont="1" applyFill="1" applyBorder="1" applyAlignment="1">
      <alignment horizontal="center" vertical="center" wrapText="1"/>
    </xf>
    <xf numFmtId="0" fontId="15" fillId="10" borderId="1" xfId="0" applyFont="1" applyFill="1" applyBorder="1" applyAlignment="1">
      <alignment horizontal="center"/>
    </xf>
    <xf numFmtId="0" fontId="15" fillId="10" borderId="1" xfId="0" applyFont="1" applyFill="1" applyBorder="1" applyAlignment="1">
      <alignment horizontal="left"/>
    </xf>
    <xf numFmtId="0" fontId="15" fillId="10" borderId="1" xfId="0" applyFont="1" applyFill="1" applyBorder="1"/>
    <xf numFmtId="0" fontId="16" fillId="10" borderId="1" xfId="0" applyFont="1" applyFill="1" applyBorder="1" applyAlignment="1">
      <alignment horizontal="center"/>
    </xf>
    <xf numFmtId="0" fontId="16" fillId="10" borderId="1" xfId="0" applyFont="1" applyFill="1" applyBorder="1" applyAlignment="1">
      <alignment horizontal="left"/>
    </xf>
    <xf numFmtId="0" fontId="16" fillId="10" borderId="1" xfId="0" applyFont="1" applyFill="1" applyBorder="1"/>
    <xf numFmtId="0" fontId="16" fillId="0" borderId="1" xfId="0" applyFont="1" applyFill="1" applyBorder="1"/>
    <xf numFmtId="180" fontId="16" fillId="10" borderId="1" xfId="3" applyFont="1" applyFill="1" applyBorder="1"/>
    <xf numFmtId="0" fontId="16" fillId="0" borderId="1" xfId="0" applyFont="1" applyFill="1" applyBorder="1" applyAlignment="1">
      <alignment horizontal="center"/>
    </xf>
    <xf numFmtId="171" fontId="15" fillId="10" borderId="1" xfId="0" applyNumberFormat="1" applyFont="1" applyFill="1" applyBorder="1"/>
    <xf numFmtId="0" fontId="17" fillId="10" borderId="1" xfId="0" applyFont="1" applyFill="1" applyBorder="1"/>
    <xf numFmtId="0" fontId="17" fillId="10" borderId="1" xfId="0" applyFont="1" applyFill="1" applyBorder="1" applyAlignment="1">
      <alignment horizontal="left"/>
    </xf>
    <xf numFmtId="0" fontId="15" fillId="10" borderId="1" xfId="0" applyFont="1" applyFill="1" applyBorder="1" applyAlignment="1">
      <alignment vertical="center" wrapText="1"/>
    </xf>
    <xf numFmtId="0" fontId="15" fillId="10" borderId="1" xfId="0" applyFont="1" applyFill="1" applyBorder="1" applyAlignment="1">
      <alignment wrapText="1"/>
    </xf>
    <xf numFmtId="184" fontId="15" fillId="10" borderId="1" xfId="0" applyNumberFormat="1" applyFont="1" applyFill="1" applyBorder="1"/>
    <xf numFmtId="180" fontId="15" fillId="10" borderId="1" xfId="3" applyFont="1" applyFill="1" applyBorder="1"/>
    <xf numFmtId="178" fontId="15" fillId="10" borderId="1" xfId="0" applyNumberFormat="1" applyFont="1" applyFill="1" applyBorder="1"/>
    <xf numFmtId="0" fontId="15" fillId="10" borderId="2" xfId="0" applyFont="1" applyFill="1" applyBorder="1"/>
    <xf numFmtId="171" fontId="15" fillId="10" borderId="2" xfId="0" applyNumberFormat="1" applyFont="1" applyFill="1" applyBorder="1"/>
    <xf numFmtId="0" fontId="15" fillId="10" borderId="3" xfId="0" applyFont="1" applyFill="1" applyBorder="1"/>
    <xf numFmtId="0" fontId="13" fillId="6" borderId="2" xfId="0" applyFont="1" applyFill="1" applyBorder="1" applyAlignment="1">
      <alignment horizontal="left" vertical="center" wrapText="1"/>
    </xf>
    <xf numFmtId="0" fontId="16" fillId="0" borderId="1" xfId="0" applyFont="1" applyFill="1" applyBorder="1" applyAlignment="1">
      <alignment horizontal="left" vertical="center"/>
    </xf>
    <xf numFmtId="0" fontId="16" fillId="10" borderId="1" xfId="0" applyFont="1" applyFill="1" applyBorder="1" applyAlignment="1">
      <alignment horizontal="left" vertical="center"/>
    </xf>
    <xf numFmtId="49" fontId="15" fillId="10" borderId="1" xfId="0" applyNumberFormat="1" applyFont="1" applyFill="1" applyBorder="1" applyAlignment="1">
      <alignment horizontal="left" vertical="center"/>
    </xf>
    <xf numFmtId="0" fontId="0" fillId="0" borderId="0" xfId="0" applyFill="1" applyAlignment="1">
      <alignment horizontal="left" vertical="center"/>
    </xf>
    <xf numFmtId="0" fontId="13" fillId="11" borderId="2" xfId="0" applyFont="1" applyFill="1" applyBorder="1" applyAlignment="1">
      <alignment horizontal="center" vertical="center"/>
    </xf>
    <xf numFmtId="0" fontId="15" fillId="12" borderId="1" xfId="0" applyFont="1" applyFill="1" applyBorder="1"/>
    <xf numFmtId="0" fontId="15" fillId="10" borderId="4" xfId="0" applyFont="1" applyFill="1" applyBorder="1"/>
    <xf numFmtId="49" fontId="15" fillId="10" borderId="1" xfId="0" applyNumberFormat="1" applyFont="1" applyFill="1" applyBorder="1" applyAlignment="1">
      <alignment horizontal="left" vertical="center" wrapText="1"/>
    </xf>
    <xf numFmtId="0" fontId="16" fillId="0" borderId="1" xfId="0" applyFont="1" applyFill="1" applyBorder="1" applyAlignment="1">
      <alignment horizontal="left"/>
    </xf>
    <xf numFmtId="0" fontId="15" fillId="13" borderId="1" xfId="0" applyFont="1" applyFill="1" applyBorder="1" applyAlignment="1">
      <alignment horizontal="center"/>
    </xf>
    <xf numFmtId="0" fontId="15" fillId="13" borderId="1" xfId="0" applyFont="1" applyFill="1" applyBorder="1"/>
    <xf numFmtId="0" fontId="15" fillId="13" borderId="1" xfId="0" applyFont="1" applyFill="1" applyBorder="1" applyAlignment="1">
      <alignment horizontal="left"/>
    </xf>
    <xf numFmtId="181" fontId="13" fillId="6" borderId="2" xfId="1" applyNumberFormat="1" applyFont="1" applyFill="1" applyBorder="1" applyAlignment="1" applyProtection="1">
      <alignment horizontal="left" vertical="center" wrapText="1"/>
    </xf>
    <xf numFmtId="0" fontId="0" fillId="0" borderId="0" xfId="0" applyFill="1" applyAlignment="1">
      <alignment horizontal="left"/>
    </xf>
    <xf numFmtId="0" fontId="15" fillId="10" borderId="2" xfId="0" applyFont="1" applyFill="1" applyBorder="1" applyAlignment="1">
      <alignment horizontal="left"/>
    </xf>
    <xf numFmtId="0" fontId="18" fillId="10" borderId="1" xfId="0" applyFont="1" applyFill="1" applyBorder="1"/>
    <xf numFmtId="0" fontId="15" fillId="10" borderId="1" xfId="0" applyFont="1" applyFill="1" applyBorder="1" applyAlignment="1">
      <alignment horizontal="left" vertical="center"/>
    </xf>
    <xf numFmtId="0" fontId="15" fillId="10" borderId="0" xfId="0" applyFont="1" applyFill="1" applyBorder="1"/>
    <xf numFmtId="0" fontId="15" fillId="10" borderId="1" xfId="0" applyFont="1" applyFill="1" applyBorder="1" applyAlignment="1">
      <alignment horizontal="left" vertical="center" wrapText="1"/>
    </xf>
    <xf numFmtId="14" fontId="15" fillId="10" borderId="1" xfId="0" applyNumberFormat="1" applyFont="1" applyFill="1" applyBorder="1" applyAlignment="1">
      <alignment horizontal="left"/>
    </xf>
    <xf numFmtId="0" fontId="15" fillId="10" borderId="1" xfId="0" applyFont="1" applyFill="1" applyBorder="1" applyAlignment="1">
      <alignment horizontal="center" vertical="center"/>
    </xf>
    <xf numFmtId="0" fontId="15" fillId="10" borderId="0" xfId="0" applyFont="1" applyFill="1" applyBorder="1" applyAlignment="1">
      <alignment horizontal="left" vertical="center"/>
    </xf>
    <xf numFmtId="0" fontId="15" fillId="10" borderId="1" xfId="0" applyFont="1" applyFill="1" applyBorder="1" applyAlignment="1">
      <alignment vertical="center"/>
    </xf>
    <xf numFmtId="14" fontId="15" fillId="10" borderId="1" xfId="0" applyNumberFormat="1" applyFont="1" applyFill="1" applyBorder="1"/>
    <xf numFmtId="184" fontId="15" fillId="10" borderId="1" xfId="0" applyNumberFormat="1" applyFont="1" applyFill="1" applyBorder="1" applyAlignment="1">
      <alignment horizontal="left"/>
    </xf>
    <xf numFmtId="0" fontId="15" fillId="10" borderId="2" xfId="0" applyFont="1" applyFill="1" applyBorder="1" applyAlignment="1">
      <alignment horizontal="center"/>
    </xf>
    <xf numFmtId="0" fontId="15" fillId="10" borderId="2" xfId="0" applyFont="1" applyFill="1" applyBorder="1" applyAlignment="1">
      <alignment horizontal="left" vertical="center"/>
    </xf>
    <xf numFmtId="0" fontId="15" fillId="10" borderId="2" xfId="0" applyFont="1" applyFill="1" applyBorder="1" applyAlignment="1">
      <alignment horizontal="left" vertical="top"/>
    </xf>
    <xf numFmtId="184" fontId="15" fillId="10" borderId="2" xfId="0" applyNumberFormat="1" applyFont="1" applyFill="1" applyBorder="1"/>
    <xf numFmtId="0" fontId="15" fillId="10" borderId="1" xfId="0" applyFont="1" applyFill="1" applyBorder="1" applyAlignment="1">
      <alignment horizontal="left" vertical="top"/>
    </xf>
    <xf numFmtId="180" fontId="15" fillId="10" borderId="0" xfId="3" applyFont="1" applyFill="1" applyBorder="1"/>
    <xf numFmtId="49" fontId="15" fillId="10" borderId="1" xfId="0" applyNumberFormat="1" applyFont="1" applyFill="1" applyBorder="1" applyAlignment="1">
      <alignment horizontal="left"/>
    </xf>
    <xf numFmtId="178" fontId="15" fillId="10" borderId="2" xfId="0" applyNumberFormat="1" applyFont="1" applyFill="1" applyBorder="1"/>
    <xf numFmtId="0" fontId="15" fillId="10" borderId="2" xfId="0" applyFont="1" applyFill="1" applyBorder="1" applyAlignment="1">
      <alignment wrapText="1"/>
    </xf>
    <xf numFmtId="0" fontId="18" fillId="10" borderId="1" xfId="0" applyFont="1" applyFill="1" applyBorder="1" applyAlignment="1">
      <alignment wrapText="1"/>
    </xf>
    <xf numFmtId="180" fontId="15" fillId="10" borderId="1" xfId="3" applyFont="1" applyFill="1" applyBorder="1" applyAlignment="1">
      <alignment horizontal="right"/>
    </xf>
    <xf numFmtId="184" fontId="15" fillId="10" borderId="1" xfId="0" applyNumberFormat="1" applyFont="1" applyFill="1" applyBorder="1" applyAlignment="1">
      <alignment horizontal="center" vertical="center"/>
    </xf>
    <xf numFmtId="0" fontId="15" fillId="10" borderId="1" xfId="0" applyFont="1" applyFill="1" applyBorder="1" applyAlignment="1"/>
    <xf numFmtId="180" fontId="15" fillId="10" borderId="2" xfId="3" applyFont="1" applyFill="1" applyBorder="1"/>
    <xf numFmtId="49" fontId="15" fillId="10" borderId="2" xfId="0" applyNumberFormat="1" applyFont="1" applyFill="1" applyBorder="1" applyAlignment="1">
      <alignment horizontal="left" vertical="center"/>
    </xf>
    <xf numFmtId="49" fontId="15" fillId="10" borderId="1" xfId="0" applyNumberFormat="1" applyFont="1" applyFill="1" applyBorder="1" applyAlignment="1">
      <alignment horizontal="left" vertical="top"/>
    </xf>
    <xf numFmtId="49" fontId="15" fillId="10" borderId="1" xfId="0" applyNumberFormat="1" applyFont="1" applyFill="1" applyBorder="1"/>
    <xf numFmtId="180" fontId="15" fillId="10" borderId="5" xfId="3" applyFont="1" applyFill="1" applyBorder="1"/>
    <xf numFmtId="0" fontId="15" fillId="10" borderId="6" xfId="0" applyFont="1" applyFill="1" applyBorder="1"/>
    <xf numFmtId="180" fontId="15" fillId="10" borderId="3" xfId="3" applyFont="1" applyFill="1" applyBorder="1"/>
    <xf numFmtId="180" fontId="15" fillId="10" borderId="7" xfId="3" applyFont="1" applyFill="1" applyBorder="1"/>
    <xf numFmtId="0" fontId="15" fillId="14" borderId="1" xfId="0" applyFont="1" applyFill="1" applyBorder="1" applyAlignment="1">
      <alignment horizontal="left"/>
    </xf>
    <xf numFmtId="0" fontId="14" fillId="10" borderId="1" xfId="0" applyFont="1" applyFill="1" applyBorder="1" applyAlignment="1">
      <alignment horizontal="center"/>
    </xf>
    <xf numFmtId="0" fontId="14" fillId="10" borderId="1" xfId="0" applyFont="1" applyFill="1" applyBorder="1" applyAlignment="1">
      <alignment horizontal="left"/>
    </xf>
    <xf numFmtId="0" fontId="16" fillId="0" borderId="0" xfId="0" applyFont="1"/>
    <xf numFmtId="0" fontId="15" fillId="13" borderId="1" xfId="0" applyFont="1" applyFill="1" applyBorder="1" applyAlignment="1">
      <alignment horizontal="left" vertical="center"/>
    </xf>
    <xf numFmtId="0" fontId="15" fillId="15" borderId="1" xfId="0" applyFont="1" applyFill="1" applyBorder="1"/>
    <xf numFmtId="0" fontId="15" fillId="15" borderId="1" xfId="0" applyFont="1" applyFill="1" applyBorder="1" applyAlignment="1">
      <alignment horizontal="left"/>
    </xf>
    <xf numFmtId="0" fontId="15" fillId="13" borderId="0" xfId="0" applyFont="1" applyFill="1"/>
    <xf numFmtId="0" fontId="15" fillId="10" borderId="0" xfId="0" applyFont="1" applyFill="1"/>
    <xf numFmtId="167" fontId="15" fillId="10" borderId="1" xfId="0" applyNumberFormat="1" applyFont="1" applyFill="1" applyBorder="1"/>
    <xf numFmtId="4" fontId="15" fillId="10" borderId="1" xfId="0" applyNumberFormat="1" applyFont="1" applyFill="1" applyBorder="1"/>
    <xf numFmtId="0" fontId="16" fillId="0" borderId="0" xfId="0" applyFont="1" applyFill="1"/>
    <xf numFmtId="0" fontId="14" fillId="10" borderId="1" xfId="0" applyFont="1" applyFill="1" applyBorder="1"/>
    <xf numFmtId="0" fontId="16" fillId="0" borderId="1" xfId="0" applyFont="1" applyFill="1" applyBorder="1" applyAlignment="1">
      <alignment horizontal="center" vertical="center"/>
    </xf>
    <xf numFmtId="0" fontId="19" fillId="0" borderId="1" xfId="0" applyFont="1" applyBorder="1"/>
    <xf numFmtId="0" fontId="0" fillId="0" borderId="1" xfId="0" applyFill="1" applyBorder="1" applyAlignment="1">
      <alignment horizontal="left"/>
    </xf>
    <xf numFmtId="0" fontId="0" fillId="0" borderId="1" xfId="0" applyFill="1" applyBorder="1" applyAlignment="1">
      <alignment horizontal="left" vertical="center"/>
    </xf>
    <xf numFmtId="0" fontId="18" fillId="10" borderId="2" xfId="0" applyFont="1" applyFill="1" applyBorder="1"/>
    <xf numFmtId="167" fontId="15" fillId="10" borderId="0" xfId="0" applyNumberFormat="1" applyFont="1" applyFill="1" applyBorder="1"/>
    <xf numFmtId="0" fontId="15" fillId="10" borderId="0" xfId="0" applyFont="1" applyFill="1" applyBorder="1" applyAlignment="1">
      <alignment horizontal="left"/>
    </xf>
    <xf numFmtId="0" fontId="15" fillId="10" borderId="2" xfId="0" applyFont="1" applyFill="1" applyBorder="1" applyAlignment="1">
      <alignment vertical="center"/>
    </xf>
    <xf numFmtId="0" fontId="15" fillId="10" borderId="5" xfId="0" applyFont="1" applyFill="1" applyBorder="1"/>
    <xf numFmtId="0" fontId="15" fillId="10" borderId="2" xfId="0" applyFont="1" applyFill="1" applyBorder="1" applyAlignment="1">
      <alignment horizontal="left" vertical="center" wrapText="1"/>
    </xf>
    <xf numFmtId="184" fontId="15" fillId="10" borderId="2" xfId="0" applyNumberFormat="1" applyFont="1" applyFill="1" applyBorder="1" applyAlignment="1">
      <alignment horizontal="left"/>
    </xf>
    <xf numFmtId="0" fontId="15" fillId="10" borderId="0" xfId="0" applyFont="1" applyFill="1" applyBorder="1" applyAlignment="1">
      <alignment horizontal="left" vertical="top" wrapText="1"/>
    </xf>
    <xf numFmtId="0" fontId="15" fillId="10" borderId="2" xfId="0" applyFont="1" applyFill="1" applyBorder="1" applyAlignment="1">
      <alignment horizontal="center" vertical="center"/>
    </xf>
    <xf numFmtId="14" fontId="15" fillId="10" borderId="2" xfId="0" applyNumberFormat="1" applyFont="1" applyFill="1" applyBorder="1"/>
    <xf numFmtId="0" fontId="20" fillId="0" borderId="0" xfId="0" applyFont="1" applyAlignment="1">
      <alignment horizontal="justify" vertical="center"/>
    </xf>
    <xf numFmtId="0" fontId="19" fillId="0" borderId="0" xfId="0" applyFont="1"/>
    <xf numFmtId="0" fontId="16" fillId="13" borderId="2" xfId="0" applyFont="1" applyFill="1" applyBorder="1" applyAlignment="1">
      <alignment horizontal="center"/>
    </xf>
    <xf numFmtId="0" fontId="13" fillId="16" borderId="8" xfId="0" applyFont="1" applyFill="1" applyBorder="1" applyAlignment="1">
      <alignment horizontal="center"/>
    </xf>
    <xf numFmtId="0" fontId="13" fillId="17" borderId="2" xfId="0" applyFont="1" applyFill="1" applyBorder="1" applyAlignment="1">
      <alignment horizontal="center"/>
    </xf>
    <xf numFmtId="14" fontId="13" fillId="18" borderId="2" xfId="0" applyNumberFormat="1" applyFont="1" applyFill="1" applyBorder="1" applyAlignment="1">
      <alignment horizontal="center"/>
    </xf>
  </cellXfs>
  <cellStyles count="4">
    <cellStyle name="Millares" xfId="1" builtinId="3"/>
    <cellStyle name="Millares 10" xfId="2" xr:uid="{5E94DE5B-6284-4496-838C-544B966882FD}"/>
    <cellStyle name="Moneda" xfId="3"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C0006"/>
      <rgbColor rgb="00008000"/>
      <rgbColor rgb="00000080"/>
      <rgbColor rgb="00808000"/>
      <rgbColor rgb="00800080"/>
      <rgbColor rgb="00008080"/>
      <rgbColor rgb="00B4C7E7"/>
      <rgbColor rgb="00808080"/>
      <rgbColor rgb="009999FF"/>
      <rgbColor rgb="00993366"/>
      <rgbColor rgb="00FCE5CD"/>
      <rgbColor rgb="00D9E2F3"/>
      <rgbColor rgb="00660066"/>
      <rgbColor rgb="00FF8080"/>
      <rgbColor rgb="000066CC"/>
      <rgbColor rgb="00D9D9D9"/>
      <rgbColor rgb="00000080"/>
      <rgbColor rgb="00FF00FF"/>
      <rgbColor rgb="00FFFF00"/>
      <rgbColor rgb="0000FFFF"/>
      <rgbColor rgb="00800080"/>
      <rgbColor rgb="00800000"/>
      <rgbColor rgb="00008080"/>
      <rgbColor rgb="000000FF"/>
      <rgbColor rgb="0000B0F0"/>
      <rgbColor rgb="00FBE4D5"/>
      <rgbColor rgb="00E2F0D9"/>
      <rgbColor rgb="00FFFF99"/>
      <rgbColor rgb="0099CCFF"/>
      <rgbColor rgb="00FF99CC"/>
      <rgbColor rgb="00CC99FF"/>
      <rgbColor rgb="00FFC7CE"/>
      <rgbColor rgb="003366FF"/>
      <rgbColor rgb="0033CCCC"/>
      <rgbColor rgb="0092D050"/>
      <rgbColor rgb="00FFCC00"/>
      <rgbColor rgb="00FF9900"/>
      <rgbColor rgb="00C55A11"/>
      <rgbColor rgb="00666699"/>
      <rgbColor rgb="00969696"/>
      <rgbColor rgb="00002060"/>
      <rgbColor rgb="0000B050"/>
      <rgbColor rgb="00003300"/>
      <rgbColor rgb="00333300"/>
      <rgbColor rgb="00993300"/>
      <rgbColor rgb="00993366"/>
      <rgbColor rgb="002F5597"/>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92123-809F-4D66-9DD6-6FFBBF0D1E5F}">
  <sheetPr codeName="Hoja1">
    <tabColor rgb="FFFF0000"/>
  </sheetPr>
  <dimension ref="A1:BA117"/>
  <sheetViews>
    <sheetView tabSelected="1" zoomScale="130" zoomScaleNormal="130" workbookViewId="0">
      <pane xSplit="6" ySplit="2" topLeftCell="G3" activePane="bottomRight" state="frozen"/>
      <selection activeCell="L27" sqref="L27:L33"/>
      <selection pane="topRight" activeCell="L27" sqref="L27:L33"/>
      <selection pane="bottomLeft" activeCell="L27" sqref="L27:L33"/>
      <selection pane="bottomRight" activeCell="D111" sqref="D111"/>
    </sheetView>
  </sheetViews>
  <sheetFormatPr baseColWidth="10" defaultColWidth="10.85546875" defaultRowHeight="15" x14ac:dyDescent="0.25"/>
  <cols>
    <col min="1" max="1" width="4.42578125" style="1" customWidth="1"/>
    <col min="2" max="2" width="17.42578125" style="1" customWidth="1"/>
    <col min="3" max="3" width="15.5703125" style="1" customWidth="1"/>
    <col min="4" max="4" width="12.85546875" style="1" customWidth="1"/>
    <col min="5" max="5" width="13.5703125" style="1" customWidth="1"/>
    <col min="6" max="6" width="33.5703125" style="1" customWidth="1"/>
    <col min="7" max="7" width="12.5703125" style="1" customWidth="1"/>
    <col min="8" max="8" width="9.140625" style="1" bestFit="1" customWidth="1"/>
    <col min="9" max="9" width="20.140625" style="1" customWidth="1"/>
    <col min="10" max="10" width="10.85546875" style="1"/>
    <col min="11" max="11" width="16.85546875" style="1" customWidth="1"/>
    <col min="12" max="12" width="3.140625" style="1" customWidth="1"/>
    <col min="13" max="13" width="10.85546875" style="1"/>
    <col min="14" max="15" width="12.85546875" style="1" customWidth="1"/>
    <col min="16" max="16" width="10.85546875" style="1"/>
    <col min="17" max="17" width="19.5703125" style="1" customWidth="1"/>
    <col min="18" max="18" width="13.5703125" style="1" customWidth="1"/>
    <col min="19" max="19" width="10.85546875" style="1"/>
    <col min="20" max="20" width="21.7109375" style="1" customWidth="1"/>
    <col min="21" max="21" width="8.140625" style="1" customWidth="1"/>
    <col min="22" max="22" width="13.5703125" style="1" bestFit="1" customWidth="1"/>
    <col min="23" max="23" width="31.140625" style="1" customWidth="1"/>
    <col min="24" max="24" width="28.42578125" style="1" customWidth="1"/>
    <col min="25" max="25" width="69" style="1" customWidth="1"/>
    <col min="26" max="26" width="13.85546875" style="54" customWidth="1"/>
    <col min="27" max="28" width="10.85546875" style="1"/>
    <col min="29" max="29" width="16" style="1" customWidth="1"/>
    <col min="30" max="30" width="13.5703125" style="1" customWidth="1"/>
    <col min="31" max="31" width="19.28515625" style="1" bestFit="1" customWidth="1"/>
    <col min="32" max="32" width="10.85546875" style="64"/>
    <col min="33" max="33" width="6.7109375" style="3" customWidth="1"/>
    <col min="34" max="34" width="11" style="1" bestFit="1" customWidth="1"/>
    <col min="35" max="36" width="11" style="1" customWidth="1"/>
    <col min="37" max="39" width="10.85546875" style="1"/>
    <col min="40" max="40" width="13.5703125" style="1" customWidth="1"/>
    <col min="41" max="52" width="10.85546875" style="1"/>
    <col min="53" max="53" width="77.5703125" style="1" bestFit="1" customWidth="1"/>
    <col min="54" max="16384" width="10.85546875" style="1"/>
  </cols>
  <sheetData>
    <row r="1" spans="1:53" customFormat="1" x14ac:dyDescent="0.25">
      <c r="A1" s="126"/>
      <c r="B1" s="126"/>
      <c r="C1" s="126"/>
      <c r="D1" s="126"/>
      <c r="E1" s="126"/>
      <c r="F1" s="126"/>
      <c r="G1" s="126"/>
      <c r="H1" s="126"/>
      <c r="I1" s="126"/>
      <c r="J1" s="126"/>
      <c r="K1" s="126"/>
      <c r="L1" s="126"/>
      <c r="M1" s="126"/>
      <c r="N1" s="126"/>
      <c r="O1" s="126"/>
      <c r="P1" s="127" t="s">
        <v>7</v>
      </c>
      <c r="Q1" s="127"/>
      <c r="R1" s="127"/>
      <c r="S1" s="127"/>
      <c r="T1" s="127"/>
      <c r="U1" s="127"/>
      <c r="V1" s="127"/>
      <c r="W1" s="127"/>
      <c r="X1" s="128" t="s">
        <v>39</v>
      </c>
      <c r="Y1" s="128"/>
      <c r="Z1" s="128"/>
      <c r="AA1" s="128"/>
      <c r="AB1" s="128"/>
      <c r="AC1" s="128"/>
      <c r="AD1" s="128"/>
      <c r="AE1" s="128"/>
      <c r="AF1" s="128"/>
      <c r="AG1" s="128"/>
      <c r="AH1" s="128"/>
      <c r="AI1" s="128"/>
      <c r="AJ1" s="128"/>
      <c r="AK1" s="128"/>
      <c r="AL1" s="128"/>
      <c r="AM1" s="128"/>
      <c r="AN1" s="128"/>
      <c r="AO1" s="129" t="s">
        <v>8</v>
      </c>
      <c r="AP1" s="129"/>
      <c r="AQ1" s="129"/>
      <c r="AR1" s="129"/>
      <c r="AS1" s="129"/>
      <c r="AT1" s="129"/>
      <c r="AU1" s="129"/>
      <c r="AV1" s="129"/>
      <c r="AW1" s="129"/>
      <c r="AX1" s="129"/>
      <c r="AY1" s="129"/>
      <c r="AZ1" s="129"/>
      <c r="BA1" s="129"/>
    </row>
    <row r="2" spans="1:53" s="100" customFormat="1" ht="45.6" customHeight="1" x14ac:dyDescent="0.2">
      <c r="A2" s="5" t="s">
        <v>46</v>
      </c>
      <c r="B2" s="5" t="s">
        <v>2</v>
      </c>
      <c r="C2" s="5" t="s">
        <v>131</v>
      </c>
      <c r="D2" s="6" t="s">
        <v>1</v>
      </c>
      <c r="E2" s="6" t="s">
        <v>9</v>
      </c>
      <c r="F2" s="55" t="s">
        <v>813</v>
      </c>
      <c r="G2" s="7" t="s">
        <v>10</v>
      </c>
      <c r="H2" s="8" t="s">
        <v>11</v>
      </c>
      <c r="I2" s="8" t="s">
        <v>12</v>
      </c>
      <c r="J2" s="9" t="s">
        <v>14</v>
      </c>
      <c r="K2" s="10" t="s">
        <v>0</v>
      </c>
      <c r="L2" s="11" t="s">
        <v>13</v>
      </c>
      <c r="M2" s="5" t="s">
        <v>15</v>
      </c>
      <c r="N2" s="12" t="s">
        <v>16</v>
      </c>
      <c r="O2" s="5" t="s">
        <v>17</v>
      </c>
      <c r="P2" s="13" t="s">
        <v>140</v>
      </c>
      <c r="Q2" s="14" t="s">
        <v>18</v>
      </c>
      <c r="R2" s="15" t="s">
        <v>19</v>
      </c>
      <c r="S2" s="15" t="s">
        <v>20</v>
      </c>
      <c r="T2" s="16" t="s">
        <v>21</v>
      </c>
      <c r="U2" s="17" t="s">
        <v>38</v>
      </c>
      <c r="V2" s="18" t="s">
        <v>22</v>
      </c>
      <c r="W2" s="19" t="s">
        <v>52</v>
      </c>
      <c r="X2" s="20" t="s">
        <v>53</v>
      </c>
      <c r="Y2" s="21" t="s">
        <v>199</v>
      </c>
      <c r="Z2" s="50" t="s">
        <v>23</v>
      </c>
      <c r="AA2" s="21" t="s">
        <v>54</v>
      </c>
      <c r="AB2" s="22" t="s">
        <v>24</v>
      </c>
      <c r="AC2" s="23" t="s">
        <v>60</v>
      </c>
      <c r="AD2" s="20" t="s">
        <v>55</v>
      </c>
      <c r="AE2" s="24" t="s">
        <v>25</v>
      </c>
      <c r="AF2" s="63" t="s">
        <v>13</v>
      </c>
      <c r="AG2" s="25" t="s">
        <v>51</v>
      </c>
      <c r="AH2" s="26" t="s">
        <v>106</v>
      </c>
      <c r="AI2" s="26" t="s">
        <v>700</v>
      </c>
      <c r="AJ2" s="26" t="s">
        <v>701</v>
      </c>
      <c r="AK2" s="26" t="s">
        <v>56</v>
      </c>
      <c r="AL2" s="26" t="s">
        <v>27</v>
      </c>
      <c r="AM2" s="26" t="s">
        <v>28</v>
      </c>
      <c r="AN2" s="27" t="s">
        <v>29</v>
      </c>
      <c r="AO2" s="28" t="s">
        <v>26</v>
      </c>
      <c r="AP2" s="28" t="s">
        <v>27</v>
      </c>
      <c r="AQ2" s="28" t="s">
        <v>28</v>
      </c>
      <c r="AR2" s="28" t="s">
        <v>129</v>
      </c>
      <c r="AS2" s="28" t="s">
        <v>30</v>
      </c>
      <c r="AT2" s="28" t="s">
        <v>246</v>
      </c>
      <c r="AU2" s="28" t="s">
        <v>57</v>
      </c>
      <c r="AV2" s="28" t="s">
        <v>460</v>
      </c>
      <c r="AW2" s="28" t="s">
        <v>31</v>
      </c>
      <c r="AX2" s="28" t="s">
        <v>58</v>
      </c>
      <c r="AY2" s="28" t="s">
        <v>59</v>
      </c>
      <c r="AZ2" s="29" t="s">
        <v>461</v>
      </c>
      <c r="BA2" s="29" t="s">
        <v>29</v>
      </c>
    </row>
    <row r="3" spans="1:53" s="68" customFormat="1" ht="11.25" customHeight="1" x14ac:dyDescent="0.2">
      <c r="A3" s="30">
        <v>1</v>
      </c>
      <c r="B3" s="31" t="s">
        <v>301</v>
      </c>
      <c r="C3" s="32" t="str">
        <f t="shared" ref="C3:C25" si="0">D3&amp;E3</f>
        <v>356529417485025</v>
      </c>
      <c r="D3" s="33">
        <v>3565294</v>
      </c>
      <c r="E3" s="33">
        <v>17485025</v>
      </c>
      <c r="F3" s="34" t="s">
        <v>470</v>
      </c>
      <c r="G3" s="34">
        <v>46670035</v>
      </c>
      <c r="H3" s="35" t="s">
        <v>44</v>
      </c>
      <c r="I3" s="35"/>
      <c r="J3" s="35" t="s">
        <v>5</v>
      </c>
      <c r="K3" s="35" t="s">
        <v>71</v>
      </c>
      <c r="L3" s="32" t="s">
        <v>3</v>
      </c>
      <c r="M3" s="35" t="s">
        <v>68</v>
      </c>
      <c r="N3" s="39">
        <v>4749.63</v>
      </c>
      <c r="O3" s="39">
        <v>6946.04</v>
      </c>
      <c r="P3" s="35" t="s">
        <v>67</v>
      </c>
      <c r="Q3" s="35" t="s">
        <v>111</v>
      </c>
      <c r="R3" s="35" t="s">
        <v>64</v>
      </c>
      <c r="S3" s="35" t="s">
        <v>40</v>
      </c>
      <c r="T3" s="32" t="s">
        <v>525</v>
      </c>
      <c r="U3" s="35" t="s">
        <v>44</v>
      </c>
      <c r="V3" s="37">
        <v>53614.97</v>
      </c>
      <c r="W3" s="35" t="s">
        <v>504</v>
      </c>
      <c r="X3" s="32" t="s">
        <v>40</v>
      </c>
      <c r="Y3" s="35"/>
      <c r="Z3" s="52"/>
      <c r="AA3" s="35"/>
      <c r="AB3" s="35"/>
      <c r="AC3" s="35"/>
      <c r="AD3" s="35"/>
      <c r="AE3" s="37"/>
      <c r="AF3" s="34"/>
      <c r="AG3" s="33"/>
      <c r="AH3" s="35"/>
      <c r="AI3" s="35"/>
      <c r="AJ3" s="35"/>
      <c r="AK3" s="35"/>
      <c r="AL3" s="35"/>
      <c r="AM3" s="35"/>
      <c r="AN3" s="35"/>
      <c r="AO3" s="35" t="s">
        <v>495</v>
      </c>
      <c r="AP3" s="35"/>
      <c r="AQ3" s="35" t="s">
        <v>508</v>
      </c>
      <c r="AR3" s="35"/>
      <c r="AS3" s="35" t="s">
        <v>748</v>
      </c>
      <c r="AT3" s="35" t="s">
        <v>952</v>
      </c>
      <c r="AU3" s="35"/>
      <c r="AV3" s="35"/>
      <c r="AW3" s="35"/>
      <c r="AX3" s="35"/>
      <c r="AY3" s="35"/>
      <c r="AZ3" s="40" t="s">
        <v>666</v>
      </c>
      <c r="BA3" s="40" t="s">
        <v>677</v>
      </c>
    </row>
    <row r="4" spans="1:53" s="68" customFormat="1" ht="11.25" customHeight="1" x14ac:dyDescent="0.2">
      <c r="A4" s="30">
        <v>2</v>
      </c>
      <c r="B4" s="32" t="s">
        <v>301</v>
      </c>
      <c r="C4" s="32" t="str">
        <f t="shared" si="0"/>
        <v>385479714234316</v>
      </c>
      <c r="D4" s="30">
        <v>3854797</v>
      </c>
      <c r="E4" s="30">
        <v>14234316</v>
      </c>
      <c r="F4" s="31" t="s">
        <v>175</v>
      </c>
      <c r="G4" s="31">
        <v>20679953</v>
      </c>
      <c r="H4" s="32" t="s">
        <v>44</v>
      </c>
      <c r="I4" s="32"/>
      <c r="J4" s="32" t="s">
        <v>5</v>
      </c>
      <c r="K4" s="32" t="s">
        <v>84</v>
      </c>
      <c r="L4" s="32" t="s">
        <v>3</v>
      </c>
      <c r="M4" s="32" t="s">
        <v>63</v>
      </c>
      <c r="N4" s="39">
        <v>14905.34</v>
      </c>
      <c r="O4" s="39">
        <v>15622.93</v>
      </c>
      <c r="P4" s="32" t="s">
        <v>126</v>
      </c>
      <c r="Q4" s="32" t="s">
        <v>41</v>
      </c>
      <c r="R4" s="32" t="s">
        <v>64</v>
      </c>
      <c r="S4" s="32" t="s">
        <v>36</v>
      </c>
      <c r="T4" s="32" t="s">
        <v>204</v>
      </c>
      <c r="U4" s="32" t="s">
        <v>4</v>
      </c>
      <c r="V4" s="45">
        <v>44312.55</v>
      </c>
      <c r="W4" s="32" t="s">
        <v>92</v>
      </c>
      <c r="X4" s="32" t="s">
        <v>205</v>
      </c>
      <c r="Y4" s="31" t="s">
        <v>232</v>
      </c>
      <c r="Z4" s="67">
        <v>11102702</v>
      </c>
      <c r="AA4" s="32" t="s">
        <v>33</v>
      </c>
      <c r="AB4" s="32" t="s">
        <v>36</v>
      </c>
      <c r="AC4" s="32" t="s">
        <v>40</v>
      </c>
      <c r="AD4" s="32" t="s">
        <v>65</v>
      </c>
      <c r="AE4" s="45">
        <v>45000</v>
      </c>
      <c r="AF4" s="31" t="s">
        <v>34</v>
      </c>
      <c r="AG4" s="30" t="s">
        <v>4</v>
      </c>
      <c r="AH4" s="32" t="s">
        <v>219</v>
      </c>
      <c r="AI4" s="74">
        <v>45765</v>
      </c>
      <c r="AJ4" s="32" t="s">
        <v>727</v>
      </c>
      <c r="AK4" s="32" t="s">
        <v>189</v>
      </c>
      <c r="AL4" s="32" t="s">
        <v>40</v>
      </c>
      <c r="AM4" s="32" t="s">
        <v>213</v>
      </c>
      <c r="AN4" s="32" t="s">
        <v>303</v>
      </c>
      <c r="AO4" s="32" t="s">
        <v>233</v>
      </c>
      <c r="AP4" s="32"/>
      <c r="AQ4" s="32" t="s">
        <v>234</v>
      </c>
      <c r="AR4" s="32"/>
      <c r="AS4" s="32" t="s">
        <v>242</v>
      </c>
      <c r="AT4" s="32" t="s">
        <v>243</v>
      </c>
      <c r="AU4" s="32" t="s">
        <v>311</v>
      </c>
      <c r="AV4" s="32"/>
      <c r="AW4" s="32"/>
      <c r="AX4" s="32"/>
      <c r="AY4" s="32"/>
      <c r="AZ4" s="32" t="s">
        <v>669</v>
      </c>
      <c r="BA4" s="32" t="s">
        <v>565</v>
      </c>
    </row>
    <row r="5" spans="1:53" s="68" customFormat="1" ht="11.25" customHeight="1" x14ac:dyDescent="0.2">
      <c r="A5" s="30">
        <v>3</v>
      </c>
      <c r="B5" s="31" t="s">
        <v>301</v>
      </c>
      <c r="C5" s="32" t="str">
        <f t="shared" si="0"/>
        <v>152276311998229</v>
      </c>
      <c r="D5" s="30">
        <v>1522763</v>
      </c>
      <c r="E5" s="30">
        <v>11998229</v>
      </c>
      <c r="F5" s="31" t="s">
        <v>455</v>
      </c>
      <c r="G5" s="31">
        <v>20523302</v>
      </c>
      <c r="H5" s="32" t="s">
        <v>44</v>
      </c>
      <c r="I5" s="85" t="s">
        <v>882</v>
      </c>
      <c r="J5" s="32" t="s">
        <v>37</v>
      </c>
      <c r="K5" s="32" t="s">
        <v>84</v>
      </c>
      <c r="L5" s="32"/>
      <c r="M5" s="32" t="s">
        <v>63</v>
      </c>
      <c r="N5" s="39">
        <v>11931.2</v>
      </c>
      <c r="O5" s="39">
        <v>15230.64</v>
      </c>
      <c r="P5" s="32" t="s">
        <v>126</v>
      </c>
      <c r="Q5" s="32" t="s">
        <v>351</v>
      </c>
      <c r="R5" s="32" t="s">
        <v>64</v>
      </c>
      <c r="S5" s="32" t="s">
        <v>36</v>
      </c>
      <c r="T5" s="32" t="s">
        <v>531</v>
      </c>
      <c r="U5" s="32" t="s">
        <v>44</v>
      </c>
      <c r="V5" s="45">
        <v>45402.1</v>
      </c>
      <c r="W5" s="32" t="s">
        <v>430</v>
      </c>
      <c r="X5" s="32" t="s">
        <v>456</v>
      </c>
      <c r="Y5" s="32" t="s">
        <v>440</v>
      </c>
      <c r="Z5" s="53">
        <v>11002030</v>
      </c>
      <c r="AA5" s="32" t="s">
        <v>33</v>
      </c>
      <c r="AB5" s="32" t="s">
        <v>36</v>
      </c>
      <c r="AC5" s="32" t="s">
        <v>40</v>
      </c>
      <c r="AD5" s="32" t="s">
        <v>65</v>
      </c>
      <c r="AE5" s="45">
        <v>46000</v>
      </c>
      <c r="AF5" s="31" t="s">
        <v>34</v>
      </c>
      <c r="AG5" s="30" t="s">
        <v>4</v>
      </c>
      <c r="AH5" s="32"/>
      <c r="AI5" s="32"/>
      <c r="AJ5" s="32"/>
      <c r="AK5" s="44" t="s">
        <v>441</v>
      </c>
      <c r="AL5" s="32"/>
      <c r="AM5" s="32"/>
      <c r="AN5" s="66" t="s">
        <v>532</v>
      </c>
      <c r="AO5" s="32" t="s">
        <v>533</v>
      </c>
      <c r="AP5" s="32"/>
      <c r="AQ5" s="32" t="s">
        <v>546</v>
      </c>
      <c r="AR5" s="32"/>
      <c r="AS5" s="32"/>
      <c r="AT5" s="32"/>
      <c r="AU5" s="32"/>
      <c r="AV5" s="32"/>
      <c r="AW5" s="32"/>
      <c r="AX5" s="32"/>
      <c r="AY5" s="32"/>
      <c r="AZ5" s="32" t="s">
        <v>850</v>
      </c>
      <c r="BA5" s="32" t="s">
        <v>693</v>
      </c>
    </row>
    <row r="6" spans="1:53" s="68" customFormat="1" ht="11.25" customHeight="1" x14ac:dyDescent="0.2">
      <c r="A6" s="30">
        <v>4</v>
      </c>
      <c r="B6" s="32" t="s">
        <v>301</v>
      </c>
      <c r="C6" s="32" t="str">
        <f t="shared" si="0"/>
        <v>231711216592691</v>
      </c>
      <c r="D6" s="30">
        <v>2317112</v>
      </c>
      <c r="E6" s="30">
        <v>16592691</v>
      </c>
      <c r="F6" s="31" t="s">
        <v>345</v>
      </c>
      <c r="G6" s="31">
        <v>20525299</v>
      </c>
      <c r="H6" s="32" t="s">
        <v>44</v>
      </c>
      <c r="I6" s="32"/>
      <c r="J6" s="32" t="s">
        <v>37</v>
      </c>
      <c r="K6" s="32" t="s">
        <v>84</v>
      </c>
      <c r="L6" s="32" t="s">
        <v>3</v>
      </c>
      <c r="M6" s="32" t="s">
        <v>63</v>
      </c>
      <c r="N6" s="39">
        <v>4664.26</v>
      </c>
      <c r="O6" s="39">
        <v>6279.42</v>
      </c>
      <c r="P6" s="32" t="s">
        <v>126</v>
      </c>
      <c r="Q6" s="32" t="s">
        <v>351</v>
      </c>
      <c r="R6" s="32" t="s">
        <v>64</v>
      </c>
      <c r="S6" s="32" t="s">
        <v>35</v>
      </c>
      <c r="T6" s="32" t="s">
        <v>352</v>
      </c>
      <c r="U6" s="32" t="s">
        <v>4</v>
      </c>
      <c r="V6" s="45">
        <v>49647.57</v>
      </c>
      <c r="W6" s="32" t="s">
        <v>353</v>
      </c>
      <c r="X6" s="32" t="s">
        <v>354</v>
      </c>
      <c r="Y6" s="32" t="s">
        <v>927</v>
      </c>
      <c r="Z6" s="67" t="s">
        <v>355</v>
      </c>
      <c r="AA6" s="32" t="s">
        <v>33</v>
      </c>
      <c r="AB6" s="32" t="s">
        <v>36</v>
      </c>
      <c r="AC6" s="32" t="s">
        <v>40</v>
      </c>
      <c r="AD6" s="32" t="s">
        <v>65</v>
      </c>
      <c r="AE6" s="45">
        <v>50000</v>
      </c>
      <c r="AF6" s="31" t="s">
        <v>34</v>
      </c>
      <c r="AG6" s="30" t="s">
        <v>4</v>
      </c>
      <c r="AH6" s="32"/>
      <c r="AI6" s="32"/>
      <c r="AJ6" s="32"/>
      <c r="AK6" s="32" t="s">
        <v>349</v>
      </c>
      <c r="AL6" s="32" t="s">
        <v>382</v>
      </c>
      <c r="AM6" s="32" t="s">
        <v>401</v>
      </c>
      <c r="AN6" s="32"/>
      <c r="AO6" s="32" t="s">
        <v>428</v>
      </c>
      <c r="AP6" s="32"/>
      <c r="AQ6" s="32" t="s">
        <v>466</v>
      </c>
      <c r="AR6" s="32"/>
      <c r="AS6" s="32" t="s">
        <v>487</v>
      </c>
      <c r="AT6" s="32" t="s">
        <v>665</v>
      </c>
      <c r="AU6" s="32"/>
      <c r="AV6" s="32"/>
      <c r="AW6" s="32" t="s">
        <v>699</v>
      </c>
      <c r="AX6" s="32"/>
      <c r="AY6" s="32"/>
      <c r="AZ6" s="32" t="s">
        <v>665</v>
      </c>
      <c r="BA6" s="32" t="s">
        <v>692</v>
      </c>
    </row>
    <row r="7" spans="1:53" s="68" customFormat="1" ht="11.25" customHeight="1" x14ac:dyDescent="0.2">
      <c r="A7" s="30">
        <v>5</v>
      </c>
      <c r="B7" s="31" t="s">
        <v>301</v>
      </c>
      <c r="C7" s="32" t="str">
        <f t="shared" si="0"/>
        <v>407842616104299</v>
      </c>
      <c r="D7" s="30">
        <v>4078426</v>
      </c>
      <c r="E7" s="30">
        <v>16104299</v>
      </c>
      <c r="F7" s="31" t="s">
        <v>435</v>
      </c>
      <c r="G7" s="31">
        <v>4303680</v>
      </c>
      <c r="H7" s="32" t="s">
        <v>44</v>
      </c>
      <c r="I7" s="66" t="s">
        <v>338</v>
      </c>
      <c r="J7" s="32" t="s">
        <v>5</v>
      </c>
      <c r="K7" s="32" t="s">
        <v>71</v>
      </c>
      <c r="L7" s="32" t="s">
        <v>3</v>
      </c>
      <c r="M7" s="32" t="s">
        <v>63</v>
      </c>
      <c r="N7" s="39">
        <v>17530.52</v>
      </c>
      <c r="O7" s="39">
        <v>20533.09</v>
      </c>
      <c r="P7" s="32" t="s">
        <v>126</v>
      </c>
      <c r="Q7" s="32" t="s">
        <v>41</v>
      </c>
      <c r="R7" s="32" t="s">
        <v>64</v>
      </c>
      <c r="S7" s="32" t="s">
        <v>36</v>
      </c>
      <c r="T7" s="32" t="s">
        <v>740</v>
      </c>
      <c r="U7" s="32" t="s">
        <v>4</v>
      </c>
      <c r="V7" s="45">
        <v>20471.89</v>
      </c>
      <c r="W7" s="32" t="s">
        <v>72</v>
      </c>
      <c r="X7" s="32" t="s">
        <v>543</v>
      </c>
      <c r="Y7" s="32" t="s">
        <v>928</v>
      </c>
      <c r="Z7" s="53">
        <v>11008407</v>
      </c>
      <c r="AA7" s="32" t="s">
        <v>33</v>
      </c>
      <c r="AB7" s="32" t="s">
        <v>36</v>
      </c>
      <c r="AC7" s="32" t="s">
        <v>40</v>
      </c>
      <c r="AD7" s="32" t="s">
        <v>65</v>
      </c>
      <c r="AE7" s="45">
        <v>21000</v>
      </c>
      <c r="AF7" s="31" t="s">
        <v>34</v>
      </c>
      <c r="AG7" s="30" t="s">
        <v>4</v>
      </c>
      <c r="AH7" s="32"/>
      <c r="AI7" s="32"/>
      <c r="AJ7" s="32"/>
      <c r="AK7" s="44" t="s">
        <v>441</v>
      </c>
      <c r="AL7" s="32" t="s">
        <v>463</v>
      </c>
      <c r="AM7" s="32" t="s">
        <v>544</v>
      </c>
      <c r="AN7" s="32"/>
      <c r="AO7" s="32"/>
      <c r="AP7" s="32"/>
      <c r="AQ7" s="32" t="s">
        <v>605</v>
      </c>
      <c r="AR7" s="32"/>
      <c r="AS7" s="32" t="s">
        <v>630</v>
      </c>
      <c r="AT7" s="32"/>
      <c r="AU7" s="32"/>
      <c r="AV7" s="32"/>
      <c r="AW7" s="32"/>
      <c r="AX7" s="32"/>
      <c r="AY7" s="32"/>
      <c r="AZ7" s="32" t="s">
        <v>681</v>
      </c>
      <c r="BA7" s="32" t="s">
        <v>682</v>
      </c>
    </row>
    <row r="8" spans="1:53" s="68" customFormat="1" ht="11.25" customHeight="1" x14ac:dyDescent="0.2">
      <c r="A8" s="30">
        <v>6</v>
      </c>
      <c r="B8" s="32" t="s">
        <v>301</v>
      </c>
      <c r="C8" s="32" t="str">
        <f t="shared" si="0"/>
        <v>275263616043878</v>
      </c>
      <c r="D8" s="30">
        <v>2752636</v>
      </c>
      <c r="E8" s="30">
        <v>16043878</v>
      </c>
      <c r="F8" s="32" t="s">
        <v>253</v>
      </c>
      <c r="G8" s="31">
        <v>42179669</v>
      </c>
      <c r="H8" s="32" t="s">
        <v>44</v>
      </c>
      <c r="I8" s="32"/>
      <c r="J8" s="32" t="s">
        <v>37</v>
      </c>
      <c r="K8" s="32" t="s">
        <v>84</v>
      </c>
      <c r="L8" s="32" t="s">
        <v>3</v>
      </c>
      <c r="M8" s="32" t="s">
        <v>63</v>
      </c>
      <c r="N8" s="39">
        <v>14433.18</v>
      </c>
      <c r="O8" s="39">
        <v>15490.49</v>
      </c>
      <c r="P8" s="32" t="s">
        <v>126</v>
      </c>
      <c r="Q8" s="32" t="s">
        <v>41</v>
      </c>
      <c r="R8" s="32" t="s">
        <v>64</v>
      </c>
      <c r="S8" s="32" t="s">
        <v>36</v>
      </c>
      <c r="T8" s="32" t="s">
        <v>260</v>
      </c>
      <c r="U8" s="32" t="s">
        <v>4</v>
      </c>
      <c r="V8" s="45">
        <v>15849</v>
      </c>
      <c r="W8" s="32" t="s">
        <v>261</v>
      </c>
      <c r="X8" s="32" t="s">
        <v>262</v>
      </c>
      <c r="Y8" s="32" t="s">
        <v>263</v>
      </c>
      <c r="Z8" s="67">
        <v>11096248</v>
      </c>
      <c r="AA8" s="32" t="s">
        <v>33</v>
      </c>
      <c r="AB8" s="32" t="s">
        <v>36</v>
      </c>
      <c r="AC8" s="32" t="s">
        <v>40</v>
      </c>
      <c r="AD8" s="32" t="s">
        <v>65</v>
      </c>
      <c r="AE8" s="45">
        <v>16000</v>
      </c>
      <c r="AF8" s="31" t="s">
        <v>34</v>
      </c>
      <c r="AG8" s="30" t="s">
        <v>4</v>
      </c>
      <c r="AH8" s="32" t="s">
        <v>272</v>
      </c>
      <c r="AI8" s="74">
        <v>45904</v>
      </c>
      <c r="AJ8" s="32" t="s">
        <v>728</v>
      </c>
      <c r="AK8" s="32" t="s">
        <v>250</v>
      </c>
      <c r="AL8" s="32"/>
      <c r="AM8" s="32" t="s">
        <v>264</v>
      </c>
      <c r="AN8" s="32"/>
      <c r="AO8" s="32" t="s">
        <v>293</v>
      </c>
      <c r="AP8" s="32"/>
      <c r="AQ8" s="32" t="s">
        <v>382</v>
      </c>
      <c r="AR8" s="32"/>
      <c r="AS8" s="32" t="s">
        <v>411</v>
      </c>
      <c r="AT8" s="32" t="s">
        <v>563</v>
      </c>
      <c r="AU8" s="32"/>
      <c r="AV8" s="32" t="s">
        <v>713</v>
      </c>
      <c r="AW8" s="32"/>
      <c r="AX8" s="32"/>
      <c r="AY8" s="32"/>
      <c r="AZ8" s="32"/>
      <c r="BA8" s="32"/>
    </row>
    <row r="9" spans="1:53" s="68" customFormat="1" ht="10.5" customHeight="1" x14ac:dyDescent="0.2">
      <c r="A9" s="30">
        <v>7</v>
      </c>
      <c r="B9" s="32" t="s">
        <v>301</v>
      </c>
      <c r="C9" s="32" t="str">
        <f t="shared" si="0"/>
        <v>275263613561426</v>
      </c>
      <c r="D9" s="30">
        <v>2752636</v>
      </c>
      <c r="E9" s="30">
        <v>13561426</v>
      </c>
      <c r="F9" s="32" t="s">
        <v>253</v>
      </c>
      <c r="G9" s="32" t="s">
        <v>255</v>
      </c>
      <c r="H9" s="32" t="s">
        <v>44</v>
      </c>
      <c r="I9" s="32"/>
      <c r="J9" s="32" t="s">
        <v>37</v>
      </c>
      <c r="K9" s="32" t="s">
        <v>84</v>
      </c>
      <c r="L9" s="32" t="s">
        <v>3</v>
      </c>
      <c r="M9" s="32" t="s">
        <v>63</v>
      </c>
      <c r="N9" s="39">
        <v>25886.52</v>
      </c>
      <c r="O9" s="39">
        <v>27579.86</v>
      </c>
      <c r="P9" s="32" t="s">
        <v>67</v>
      </c>
      <c r="Q9" s="32" t="s">
        <v>41</v>
      </c>
      <c r="R9" s="32" t="s">
        <v>64</v>
      </c>
      <c r="S9" s="32" t="s">
        <v>35</v>
      </c>
      <c r="T9" s="32" t="s">
        <v>265</v>
      </c>
      <c r="U9" s="32" t="s">
        <v>44</v>
      </c>
      <c r="V9" s="45">
        <v>28079.31</v>
      </c>
      <c r="W9" s="32" t="s">
        <v>266</v>
      </c>
      <c r="X9" s="32" t="s">
        <v>40</v>
      </c>
      <c r="Y9" s="32" t="s">
        <v>40</v>
      </c>
      <c r="Z9" s="67" t="s">
        <v>40</v>
      </c>
      <c r="AA9" s="32" t="s">
        <v>40</v>
      </c>
      <c r="AB9" s="32" t="s">
        <v>40</v>
      </c>
      <c r="AC9" s="32" t="s">
        <v>40</v>
      </c>
      <c r="AD9" s="32" t="s">
        <v>40</v>
      </c>
      <c r="AE9" s="45"/>
      <c r="AF9" s="31" t="s">
        <v>34</v>
      </c>
      <c r="AG9" s="30" t="s">
        <v>40</v>
      </c>
      <c r="AH9" s="32" t="s">
        <v>40</v>
      </c>
      <c r="AI9" s="32"/>
      <c r="AJ9" s="32"/>
      <c r="AK9" s="32" t="s">
        <v>40</v>
      </c>
      <c r="AL9" s="32" t="s">
        <v>40</v>
      </c>
      <c r="AM9" s="32" t="s">
        <v>40</v>
      </c>
      <c r="AN9" s="32"/>
      <c r="AO9" s="32" t="s">
        <v>250</v>
      </c>
      <c r="AP9" s="32"/>
      <c r="AQ9" s="32" t="s">
        <v>267</v>
      </c>
      <c r="AR9" s="32"/>
      <c r="AS9" s="32"/>
      <c r="AT9" s="32" t="s">
        <v>306</v>
      </c>
      <c r="AU9" s="32"/>
      <c r="AV9" s="32"/>
      <c r="AW9" s="32"/>
      <c r="AX9" s="32"/>
      <c r="AY9" s="32"/>
      <c r="AZ9" s="32" t="s">
        <v>306</v>
      </c>
      <c r="BA9" s="32" t="s">
        <v>312</v>
      </c>
    </row>
    <row r="10" spans="1:53" s="68" customFormat="1" ht="11.25" customHeight="1" x14ac:dyDescent="0.2">
      <c r="A10" s="30">
        <v>8</v>
      </c>
      <c r="B10" s="32" t="s">
        <v>421</v>
      </c>
      <c r="C10" s="32" t="str">
        <f t="shared" si="0"/>
        <v>442863918199560</v>
      </c>
      <c r="D10" s="30">
        <v>4428639</v>
      </c>
      <c r="E10" s="30">
        <v>18199560</v>
      </c>
      <c r="F10" s="31" t="s">
        <v>774</v>
      </c>
      <c r="G10" s="31">
        <v>20996765</v>
      </c>
      <c r="H10" s="31" t="s">
        <v>44</v>
      </c>
      <c r="I10" s="32"/>
      <c r="J10" s="32" t="s">
        <v>37</v>
      </c>
      <c r="K10" s="32" t="s">
        <v>62</v>
      </c>
      <c r="L10" s="32" t="s">
        <v>3</v>
      </c>
      <c r="M10" s="32" t="s">
        <v>63</v>
      </c>
      <c r="N10" s="39">
        <v>6228.46</v>
      </c>
      <c r="O10" s="39">
        <v>7206.67</v>
      </c>
      <c r="P10" s="32" t="s">
        <v>126</v>
      </c>
      <c r="Q10" s="32" t="s">
        <v>41</v>
      </c>
      <c r="R10" s="32" t="s">
        <v>64</v>
      </c>
      <c r="S10" s="32" t="s">
        <v>40</v>
      </c>
      <c r="T10" s="32" t="s">
        <v>922</v>
      </c>
      <c r="U10" s="32" t="s">
        <v>4</v>
      </c>
      <c r="V10" s="45">
        <v>25881.16</v>
      </c>
      <c r="W10" s="32" t="s">
        <v>824</v>
      </c>
      <c r="X10" s="32" t="s">
        <v>825</v>
      </c>
      <c r="Y10" s="32" t="s">
        <v>853</v>
      </c>
      <c r="Z10" s="67">
        <v>11039950</v>
      </c>
      <c r="AA10" s="32" t="s">
        <v>33</v>
      </c>
      <c r="AB10" s="32" t="s">
        <v>35</v>
      </c>
      <c r="AC10" s="32" t="s">
        <v>854</v>
      </c>
      <c r="AD10" s="32" t="s">
        <v>649</v>
      </c>
      <c r="AE10" s="45">
        <v>26000</v>
      </c>
      <c r="AF10" s="31" t="s">
        <v>34</v>
      </c>
      <c r="AG10" s="30" t="s">
        <v>4</v>
      </c>
      <c r="AH10" s="32" t="s">
        <v>880</v>
      </c>
      <c r="AI10" s="32" t="s">
        <v>865</v>
      </c>
      <c r="AJ10" s="32" t="s">
        <v>881</v>
      </c>
      <c r="AK10" s="32" t="s">
        <v>791</v>
      </c>
      <c r="AL10" s="32"/>
      <c r="AM10" s="32" t="s">
        <v>826</v>
      </c>
      <c r="AN10" s="32"/>
      <c r="AO10" s="32" t="s">
        <v>909</v>
      </c>
      <c r="AP10" s="32"/>
      <c r="AQ10" s="32" t="s">
        <v>921</v>
      </c>
      <c r="AR10" s="32"/>
      <c r="AS10" s="32"/>
      <c r="AT10" s="32"/>
      <c r="AU10" s="32"/>
      <c r="AV10" s="32"/>
      <c r="AW10" s="32"/>
      <c r="AX10" s="32"/>
      <c r="AY10" s="32"/>
      <c r="AZ10" s="32"/>
      <c r="BA10" s="32"/>
    </row>
    <row r="11" spans="1:53" s="104" customFormat="1" ht="11.25" customHeight="1" x14ac:dyDescent="0.2">
      <c r="A11" s="30">
        <v>9</v>
      </c>
      <c r="B11" s="32" t="s">
        <v>421</v>
      </c>
      <c r="C11" s="32" t="str">
        <f t="shared" si="0"/>
        <v>442863917563228</v>
      </c>
      <c r="D11" s="30">
        <v>4428639</v>
      </c>
      <c r="E11" s="30">
        <v>17563228</v>
      </c>
      <c r="F11" s="31" t="s">
        <v>774</v>
      </c>
      <c r="G11" s="31">
        <v>20996765</v>
      </c>
      <c r="H11" s="31" t="s">
        <v>44</v>
      </c>
      <c r="I11" s="32"/>
      <c r="J11" s="32" t="s">
        <v>37</v>
      </c>
      <c r="K11" s="32" t="s">
        <v>62</v>
      </c>
      <c r="L11" s="32" t="s">
        <v>3</v>
      </c>
      <c r="M11" s="32" t="s">
        <v>63</v>
      </c>
      <c r="N11" s="39">
        <v>16471.490000000002</v>
      </c>
      <c r="O11" s="39">
        <v>19333.330000000002</v>
      </c>
      <c r="P11" s="32" t="s">
        <v>126</v>
      </c>
      <c r="Q11" s="32" t="s">
        <v>41</v>
      </c>
      <c r="R11" s="32" t="s">
        <v>64</v>
      </c>
      <c r="S11" s="32" t="s">
        <v>40</v>
      </c>
      <c r="T11" s="32" t="s">
        <v>922</v>
      </c>
      <c r="U11" s="32" t="s">
        <v>4</v>
      </c>
      <c r="V11" s="45">
        <v>25881.16</v>
      </c>
      <c r="W11" s="32" t="s">
        <v>824</v>
      </c>
      <c r="X11" s="32" t="s">
        <v>825</v>
      </c>
      <c r="Y11" s="32" t="s">
        <v>853</v>
      </c>
      <c r="Z11" s="67">
        <v>11039950</v>
      </c>
      <c r="AA11" s="32" t="s">
        <v>33</v>
      </c>
      <c r="AB11" s="32" t="s">
        <v>35</v>
      </c>
      <c r="AC11" s="32"/>
      <c r="AD11" s="32" t="s">
        <v>779</v>
      </c>
      <c r="AE11" s="45">
        <v>26000</v>
      </c>
      <c r="AF11" s="31" t="s">
        <v>34</v>
      </c>
      <c r="AG11" s="30" t="s">
        <v>4</v>
      </c>
      <c r="AH11" s="32" t="s">
        <v>880</v>
      </c>
      <c r="AI11" s="32" t="s">
        <v>865</v>
      </c>
      <c r="AJ11" s="32" t="s">
        <v>881</v>
      </c>
      <c r="AK11" s="32" t="s">
        <v>791</v>
      </c>
      <c r="AL11" s="32" t="s">
        <v>310</v>
      </c>
      <c r="AM11" s="32" t="s">
        <v>826</v>
      </c>
      <c r="AN11" s="32"/>
      <c r="AO11" s="32" t="s">
        <v>909</v>
      </c>
      <c r="AP11" s="32"/>
      <c r="AQ11" s="32" t="s">
        <v>921</v>
      </c>
      <c r="AR11" s="32"/>
      <c r="AS11" s="32"/>
      <c r="AT11" s="32"/>
      <c r="AU11" s="32"/>
      <c r="AV11" s="32"/>
      <c r="AW11" s="32"/>
      <c r="AX11" s="32"/>
      <c r="AY11" s="32"/>
      <c r="AZ11" s="32"/>
      <c r="BA11" s="32"/>
    </row>
    <row r="12" spans="1:53" s="104" customFormat="1" ht="11.25" customHeight="1" x14ac:dyDescent="0.2">
      <c r="A12" s="30">
        <v>10</v>
      </c>
      <c r="B12" s="61" t="s">
        <v>421</v>
      </c>
      <c r="C12" s="61" t="str">
        <f t="shared" si="0"/>
        <v>37444617995663</v>
      </c>
      <c r="D12" s="60">
        <v>374446</v>
      </c>
      <c r="E12" s="60">
        <v>17995663</v>
      </c>
      <c r="F12" s="97" t="s">
        <v>894</v>
      </c>
      <c r="G12" s="62">
        <v>62078982</v>
      </c>
      <c r="H12" s="62" t="s">
        <v>44</v>
      </c>
      <c r="I12" s="61"/>
      <c r="J12" s="61" t="s">
        <v>5</v>
      </c>
      <c r="K12" s="61" t="s">
        <v>71</v>
      </c>
      <c r="L12" s="61" t="s">
        <v>3</v>
      </c>
      <c r="M12" s="61" t="s">
        <v>63</v>
      </c>
      <c r="N12" s="61"/>
      <c r="O12" s="61"/>
      <c r="P12" s="61" t="s">
        <v>126</v>
      </c>
      <c r="Q12" s="61" t="s">
        <v>351</v>
      </c>
      <c r="R12" s="61" t="s">
        <v>892</v>
      </c>
      <c r="S12" s="61" t="s">
        <v>40</v>
      </c>
      <c r="T12" s="61"/>
      <c r="U12" s="61" t="s">
        <v>4</v>
      </c>
      <c r="V12" s="61"/>
      <c r="W12" s="61" t="s">
        <v>72</v>
      </c>
      <c r="X12" s="61" t="s">
        <v>895</v>
      </c>
      <c r="Y12" s="43" t="s">
        <v>919</v>
      </c>
      <c r="Z12" s="101" t="s">
        <v>920</v>
      </c>
      <c r="AA12" s="61" t="s">
        <v>33</v>
      </c>
      <c r="AB12" s="102"/>
      <c r="AC12" s="102"/>
      <c r="AD12" s="102"/>
      <c r="AE12" s="45">
        <v>32500</v>
      </c>
      <c r="AF12" s="103" t="s">
        <v>34</v>
      </c>
      <c r="AG12" s="60" t="s">
        <v>44</v>
      </c>
      <c r="AH12" s="61"/>
      <c r="AI12" s="61"/>
      <c r="AJ12" s="61"/>
      <c r="AK12" s="61"/>
      <c r="AL12" s="61"/>
      <c r="AM12" s="61"/>
      <c r="AN12" s="61"/>
      <c r="AO12" s="61"/>
      <c r="AP12" s="61"/>
      <c r="AQ12" s="61"/>
      <c r="AR12" s="61"/>
      <c r="AS12" s="61"/>
      <c r="AT12" s="61"/>
      <c r="AU12" s="61"/>
      <c r="AV12" s="61"/>
      <c r="AW12" s="61"/>
      <c r="AX12" s="61"/>
      <c r="AY12" s="61"/>
      <c r="AZ12" s="61"/>
      <c r="BA12" s="61"/>
    </row>
    <row r="13" spans="1:53" s="105" customFormat="1" ht="13.5" customHeight="1" x14ac:dyDescent="0.2">
      <c r="A13" s="30">
        <v>11</v>
      </c>
      <c r="B13" s="61" t="s">
        <v>421</v>
      </c>
      <c r="C13" s="61" t="str">
        <f t="shared" si="0"/>
        <v>37444619906231</v>
      </c>
      <c r="D13" s="60">
        <v>374446</v>
      </c>
      <c r="E13" s="60">
        <v>19906231</v>
      </c>
      <c r="F13" s="97" t="s">
        <v>894</v>
      </c>
      <c r="G13" s="62">
        <v>62078982</v>
      </c>
      <c r="H13" s="62" t="s">
        <v>44</v>
      </c>
      <c r="I13" s="61"/>
      <c r="J13" s="61" t="s">
        <v>5</v>
      </c>
      <c r="K13" s="61" t="s">
        <v>71</v>
      </c>
      <c r="L13" s="61" t="s">
        <v>3</v>
      </c>
      <c r="M13" s="61" t="s">
        <v>63</v>
      </c>
      <c r="N13" s="61"/>
      <c r="O13" s="61"/>
      <c r="P13" s="61" t="s">
        <v>67</v>
      </c>
      <c r="Q13" s="61" t="s">
        <v>351</v>
      </c>
      <c r="R13" s="61" t="s">
        <v>892</v>
      </c>
      <c r="S13" s="61" t="s">
        <v>40</v>
      </c>
      <c r="T13" s="61" t="s">
        <v>896</v>
      </c>
      <c r="U13" s="61" t="s">
        <v>44</v>
      </c>
      <c r="V13" s="45">
        <v>6564.86</v>
      </c>
      <c r="W13" s="61" t="s">
        <v>72</v>
      </c>
      <c r="X13" s="61"/>
      <c r="Y13" s="61" t="s">
        <v>40</v>
      </c>
      <c r="Z13" s="101"/>
      <c r="AA13" s="61"/>
      <c r="AB13" s="61"/>
      <c r="AC13" s="61"/>
      <c r="AD13" s="61"/>
      <c r="AE13" s="61"/>
      <c r="AF13" s="62"/>
      <c r="AG13" s="60"/>
      <c r="AH13" s="61"/>
      <c r="AI13" s="61"/>
      <c r="AJ13" s="61"/>
      <c r="AK13" s="61"/>
      <c r="AL13" s="61"/>
      <c r="AM13" s="61"/>
      <c r="AN13" s="61"/>
      <c r="AO13" s="61" t="s">
        <v>946</v>
      </c>
      <c r="AP13" s="61"/>
      <c r="AQ13" s="61" t="s">
        <v>911</v>
      </c>
      <c r="AR13" s="61"/>
      <c r="AS13" s="61"/>
      <c r="AT13" s="61"/>
      <c r="AU13" s="61"/>
      <c r="AV13" s="61"/>
      <c r="AW13" s="61"/>
      <c r="AX13" s="61"/>
      <c r="AY13" s="61"/>
      <c r="AZ13" s="61"/>
      <c r="BA13" s="61"/>
    </row>
    <row r="14" spans="1:53" s="105" customFormat="1" ht="12" customHeight="1" x14ac:dyDescent="0.2">
      <c r="A14" s="30">
        <v>12</v>
      </c>
      <c r="B14" s="32" t="s">
        <v>421</v>
      </c>
      <c r="C14" s="32" t="str">
        <f t="shared" si="0"/>
        <v>37444618476730</v>
      </c>
      <c r="D14" s="30">
        <v>374446</v>
      </c>
      <c r="E14" s="30">
        <v>18476730</v>
      </c>
      <c r="F14" s="31" t="s">
        <v>894</v>
      </c>
      <c r="G14" s="31">
        <v>62078982</v>
      </c>
      <c r="H14" s="31" t="s">
        <v>44</v>
      </c>
      <c r="I14" s="32"/>
      <c r="J14" s="32" t="s">
        <v>5</v>
      </c>
      <c r="K14" s="32" t="s">
        <v>71</v>
      </c>
      <c r="L14" s="32" t="s">
        <v>3</v>
      </c>
      <c r="M14" s="32" t="s">
        <v>63</v>
      </c>
      <c r="N14" s="32"/>
      <c r="O14" s="32"/>
      <c r="P14" s="32" t="s">
        <v>67</v>
      </c>
      <c r="Q14" s="32" t="s">
        <v>351</v>
      </c>
      <c r="R14" s="32" t="s">
        <v>892</v>
      </c>
      <c r="S14" s="32" t="s">
        <v>40</v>
      </c>
      <c r="T14" s="32" t="s">
        <v>896</v>
      </c>
      <c r="U14" s="32"/>
      <c r="V14" s="32"/>
      <c r="W14" s="32"/>
      <c r="X14" s="32"/>
      <c r="Y14" s="32"/>
      <c r="Z14" s="67"/>
      <c r="AA14" s="32"/>
      <c r="AB14" s="32"/>
      <c r="AC14" s="32"/>
      <c r="AD14" s="32"/>
      <c r="AE14" s="32"/>
      <c r="AF14" s="31"/>
      <c r="AG14" s="30"/>
      <c r="AH14" s="32"/>
      <c r="AI14" s="32"/>
      <c r="AJ14" s="32"/>
      <c r="AK14" s="32"/>
      <c r="AL14" s="32"/>
      <c r="AM14" s="32"/>
      <c r="AN14" s="32"/>
      <c r="AO14" s="32"/>
      <c r="AP14" s="32"/>
      <c r="AQ14" s="32"/>
      <c r="AR14" s="32"/>
      <c r="AS14" s="32"/>
      <c r="AT14" s="32"/>
      <c r="AU14" s="32"/>
      <c r="AV14" s="32"/>
      <c r="AW14" s="32"/>
      <c r="AX14" s="32"/>
      <c r="AY14" s="32"/>
      <c r="AZ14" s="32"/>
      <c r="BA14" s="32"/>
    </row>
    <row r="15" spans="1:53" s="105" customFormat="1" ht="14.25" customHeight="1" x14ac:dyDescent="0.2">
      <c r="A15" s="30">
        <v>13</v>
      </c>
      <c r="B15" s="32" t="s">
        <v>421</v>
      </c>
      <c r="C15" s="32" t="str">
        <f t="shared" si="0"/>
        <v>337882321146657</v>
      </c>
      <c r="D15" s="30">
        <v>3378823</v>
      </c>
      <c r="E15" s="30">
        <v>21146657</v>
      </c>
      <c r="F15" s="97" t="s">
        <v>901</v>
      </c>
      <c r="G15" s="31">
        <v>40995312</v>
      </c>
      <c r="H15" s="31" t="s">
        <v>44</v>
      </c>
      <c r="I15" s="32"/>
      <c r="J15" s="32" t="s">
        <v>5</v>
      </c>
      <c r="K15" s="32" t="s">
        <v>84</v>
      </c>
      <c r="L15" s="32" t="s">
        <v>3</v>
      </c>
      <c r="M15" s="32" t="s">
        <v>63</v>
      </c>
      <c r="N15" s="32"/>
      <c r="O15" s="32"/>
      <c r="P15" s="32" t="s">
        <v>126</v>
      </c>
      <c r="Q15" s="32" t="s">
        <v>32</v>
      </c>
      <c r="R15" s="32" t="s">
        <v>64</v>
      </c>
      <c r="S15" s="32"/>
      <c r="T15" s="32"/>
      <c r="U15" s="32"/>
      <c r="V15" s="32"/>
      <c r="W15" s="32" t="s">
        <v>902</v>
      </c>
      <c r="X15" s="32" t="s">
        <v>903</v>
      </c>
      <c r="Y15" s="32"/>
      <c r="Z15" s="67"/>
      <c r="AA15" s="32"/>
      <c r="AB15" s="32"/>
      <c r="AC15" s="32"/>
      <c r="AD15" s="32"/>
      <c r="AE15" s="32"/>
      <c r="AF15" s="31"/>
      <c r="AG15" s="30"/>
      <c r="AH15" s="32"/>
      <c r="AI15" s="32"/>
      <c r="AJ15" s="32"/>
      <c r="AK15" s="32"/>
      <c r="AL15" s="32"/>
      <c r="AM15" s="32"/>
      <c r="AN15" s="32"/>
      <c r="AO15" s="32"/>
      <c r="AP15" s="32"/>
      <c r="AQ15" s="32"/>
      <c r="AR15" s="32"/>
      <c r="AS15" s="32"/>
      <c r="AT15" s="32"/>
      <c r="AU15" s="32"/>
      <c r="AV15" s="32"/>
      <c r="AW15" s="32"/>
      <c r="AX15" s="32"/>
      <c r="AY15" s="32"/>
      <c r="AZ15" s="32"/>
      <c r="BA15" s="32"/>
    </row>
    <row r="16" spans="1:53" s="105" customFormat="1" ht="11.25" customHeight="1" x14ac:dyDescent="0.2">
      <c r="A16" s="30">
        <v>14</v>
      </c>
      <c r="B16" s="32" t="s">
        <v>301</v>
      </c>
      <c r="C16" s="32" t="str">
        <f t="shared" si="0"/>
        <v>234010114047122</v>
      </c>
      <c r="D16" s="30">
        <v>2340101</v>
      </c>
      <c r="E16" s="30">
        <v>14047122</v>
      </c>
      <c r="F16" s="32" t="s">
        <v>252</v>
      </c>
      <c r="G16" s="32" t="s">
        <v>254</v>
      </c>
      <c r="H16" s="32" t="s">
        <v>44</v>
      </c>
      <c r="I16" s="32"/>
      <c r="J16" s="32" t="s">
        <v>5</v>
      </c>
      <c r="K16" s="32" t="s">
        <v>71</v>
      </c>
      <c r="L16" s="32" t="s">
        <v>3</v>
      </c>
      <c r="M16" s="32" t="s">
        <v>63</v>
      </c>
      <c r="N16" s="39">
        <v>26500</v>
      </c>
      <c r="O16" s="39">
        <v>38243.879999999997</v>
      </c>
      <c r="P16" s="32" t="s">
        <v>126</v>
      </c>
      <c r="Q16" s="32" t="s">
        <v>41</v>
      </c>
      <c r="R16" s="32" t="s">
        <v>64</v>
      </c>
      <c r="S16" s="32" t="s">
        <v>36</v>
      </c>
      <c r="T16" s="32" t="s">
        <v>274</v>
      </c>
      <c r="U16" s="32" t="s">
        <v>4</v>
      </c>
      <c r="V16" s="45">
        <v>38777.910000000003</v>
      </c>
      <c r="W16" s="32" t="s">
        <v>119</v>
      </c>
      <c r="X16" s="32" t="s">
        <v>275</v>
      </c>
      <c r="Y16" s="43" t="s">
        <v>257</v>
      </c>
      <c r="Z16" s="67" t="s">
        <v>258</v>
      </c>
      <c r="AA16" s="32" t="s">
        <v>33</v>
      </c>
      <c r="AB16" s="32" t="s">
        <v>36</v>
      </c>
      <c r="AC16" s="32" t="s">
        <v>40</v>
      </c>
      <c r="AD16" s="32" t="s">
        <v>65</v>
      </c>
      <c r="AE16" s="45">
        <v>39000</v>
      </c>
      <c r="AF16" s="31" t="s">
        <v>34</v>
      </c>
      <c r="AG16" s="30" t="s">
        <v>4</v>
      </c>
      <c r="AH16" s="32" t="s">
        <v>271</v>
      </c>
      <c r="AI16" s="74">
        <v>45551</v>
      </c>
      <c r="AJ16" s="32" t="s">
        <v>718</v>
      </c>
      <c r="AK16" s="32" t="s">
        <v>245</v>
      </c>
      <c r="AL16" s="32"/>
      <c r="AM16" s="32" t="s">
        <v>251</v>
      </c>
      <c r="AN16" s="32"/>
      <c r="AO16" s="32" t="s">
        <v>276</v>
      </c>
      <c r="AP16" s="32"/>
      <c r="AQ16" s="32" t="s">
        <v>277</v>
      </c>
      <c r="AR16" s="32"/>
      <c r="AS16" s="32" t="s">
        <v>281</v>
      </c>
      <c r="AT16" s="32"/>
      <c r="AU16" s="32"/>
      <c r="AV16" s="32"/>
      <c r="AW16" s="32"/>
      <c r="AX16" s="32"/>
      <c r="AY16" s="32"/>
      <c r="AZ16" s="32" t="s">
        <v>742</v>
      </c>
      <c r="BA16" s="32" t="s">
        <v>743</v>
      </c>
    </row>
    <row r="17" spans="1:53" s="105" customFormat="1" ht="14.25" customHeight="1" x14ac:dyDescent="0.2">
      <c r="A17" s="30">
        <v>15</v>
      </c>
      <c r="B17" s="32" t="s">
        <v>301</v>
      </c>
      <c r="C17" s="32" t="str">
        <f t="shared" si="0"/>
        <v>23401019805886</v>
      </c>
      <c r="D17" s="30">
        <v>2340101</v>
      </c>
      <c r="E17" s="30">
        <v>9805886</v>
      </c>
      <c r="F17" s="73" t="s">
        <v>252</v>
      </c>
      <c r="G17" s="31">
        <v>45238018</v>
      </c>
      <c r="H17" s="32" t="s">
        <v>44</v>
      </c>
      <c r="I17" s="32"/>
      <c r="J17" s="32" t="s">
        <v>5</v>
      </c>
      <c r="K17" s="32" t="s">
        <v>71</v>
      </c>
      <c r="L17" s="32" t="s">
        <v>3</v>
      </c>
      <c r="M17" s="32" t="s">
        <v>63</v>
      </c>
      <c r="N17" s="39">
        <v>26500</v>
      </c>
      <c r="O17" s="39">
        <v>40396.660000000003</v>
      </c>
      <c r="P17" s="31" t="s">
        <v>67</v>
      </c>
      <c r="Q17" s="32" t="s">
        <v>41</v>
      </c>
      <c r="R17" s="32" t="s">
        <v>64</v>
      </c>
      <c r="S17" s="32"/>
      <c r="T17" s="32" t="s">
        <v>330</v>
      </c>
      <c r="U17" s="32" t="s">
        <v>44</v>
      </c>
      <c r="V17" s="45">
        <v>7887.92</v>
      </c>
      <c r="W17" s="32" t="s">
        <v>329</v>
      </c>
      <c r="X17" s="32" t="s">
        <v>918</v>
      </c>
      <c r="Y17" s="32" t="s">
        <v>520</v>
      </c>
      <c r="Z17" s="67" t="s">
        <v>258</v>
      </c>
      <c r="AA17" s="32" t="s">
        <v>33</v>
      </c>
      <c r="AB17" s="32" t="s">
        <v>35</v>
      </c>
      <c r="AC17" s="32" t="s">
        <v>521</v>
      </c>
      <c r="AD17" s="32" t="s">
        <v>65</v>
      </c>
      <c r="AE17" s="45">
        <v>8000</v>
      </c>
      <c r="AF17" s="31" t="s">
        <v>34</v>
      </c>
      <c r="AG17" s="30" t="s">
        <v>4</v>
      </c>
      <c r="AH17" s="32" t="s">
        <v>644</v>
      </c>
      <c r="AI17" s="74">
        <v>45925</v>
      </c>
      <c r="AJ17" s="32" t="s">
        <v>729</v>
      </c>
      <c r="AK17" s="32" t="s">
        <v>488</v>
      </c>
      <c r="AL17" s="32"/>
      <c r="AM17" s="32" t="s">
        <v>522</v>
      </c>
      <c r="AN17" s="32"/>
      <c r="AO17" s="32" t="s">
        <v>308</v>
      </c>
      <c r="AP17" s="32" t="s">
        <v>333</v>
      </c>
      <c r="AQ17" s="32" t="s">
        <v>365</v>
      </c>
      <c r="AR17" s="32"/>
      <c r="AS17" s="32" t="s">
        <v>380</v>
      </c>
      <c r="AT17" s="32"/>
      <c r="AU17" s="32"/>
      <c r="AV17" s="32"/>
      <c r="AW17" s="32"/>
      <c r="AX17" s="32"/>
      <c r="AY17" s="32"/>
      <c r="AZ17" s="32" t="s">
        <v>544</v>
      </c>
      <c r="BA17" s="32" t="s">
        <v>686</v>
      </c>
    </row>
    <row r="18" spans="1:53" s="105" customFormat="1" ht="15.75" customHeight="1" x14ac:dyDescent="0.2">
      <c r="A18" s="30">
        <v>16</v>
      </c>
      <c r="B18" s="32" t="s">
        <v>421</v>
      </c>
      <c r="C18" s="32" t="str">
        <f t="shared" si="0"/>
        <v>440964319178932</v>
      </c>
      <c r="D18" s="30">
        <v>4409643</v>
      </c>
      <c r="E18" s="30">
        <v>19178932</v>
      </c>
      <c r="F18" s="97" t="s">
        <v>891</v>
      </c>
      <c r="G18" s="31">
        <v>4346481</v>
      </c>
      <c r="H18" s="31" t="s">
        <v>44</v>
      </c>
      <c r="I18" s="32"/>
      <c r="J18" s="32" t="s">
        <v>5</v>
      </c>
      <c r="K18" s="32" t="s">
        <v>71</v>
      </c>
      <c r="L18" s="32" t="s">
        <v>3</v>
      </c>
      <c r="M18" s="32" t="s">
        <v>63</v>
      </c>
      <c r="N18" s="32"/>
      <c r="O18" s="32"/>
      <c r="P18" s="32" t="s">
        <v>126</v>
      </c>
      <c r="Q18" s="32" t="s">
        <v>351</v>
      </c>
      <c r="R18" s="32" t="s">
        <v>892</v>
      </c>
      <c r="S18" s="32" t="s">
        <v>40</v>
      </c>
      <c r="T18" s="32"/>
      <c r="U18" s="32"/>
      <c r="V18" s="32"/>
      <c r="W18" s="32" t="s">
        <v>72</v>
      </c>
      <c r="X18" s="32" t="s">
        <v>893</v>
      </c>
      <c r="Y18" s="32"/>
      <c r="Z18" s="67"/>
      <c r="AA18" s="32"/>
      <c r="AB18" s="32"/>
      <c r="AC18" s="32"/>
      <c r="AD18" s="32"/>
      <c r="AE18" s="32"/>
      <c r="AF18" s="31"/>
      <c r="AG18" s="30"/>
      <c r="AH18" s="32"/>
      <c r="AI18" s="32"/>
      <c r="AJ18" s="32"/>
      <c r="AK18" s="32"/>
      <c r="AL18" s="32"/>
      <c r="AM18" s="32"/>
      <c r="AN18" s="32"/>
      <c r="AO18" s="32"/>
      <c r="AP18" s="32"/>
      <c r="AQ18" s="32"/>
      <c r="AR18" s="32"/>
      <c r="AS18" s="32"/>
      <c r="AT18" s="32"/>
      <c r="AU18" s="32"/>
      <c r="AV18" s="32"/>
      <c r="AW18" s="32"/>
      <c r="AX18" s="32"/>
      <c r="AY18" s="32"/>
      <c r="AZ18" s="32"/>
      <c r="BA18" s="32"/>
    </row>
    <row r="19" spans="1:53" s="105" customFormat="1" ht="13.5" customHeight="1" x14ac:dyDescent="0.2">
      <c r="A19" s="30">
        <v>17</v>
      </c>
      <c r="B19" s="32" t="s">
        <v>421</v>
      </c>
      <c r="C19" s="32" t="str">
        <f t="shared" si="0"/>
        <v>194435018920449</v>
      </c>
      <c r="D19" s="30">
        <v>1944350</v>
      </c>
      <c r="E19" s="30">
        <v>18920449</v>
      </c>
      <c r="F19" s="31" t="s">
        <v>806</v>
      </c>
      <c r="G19" s="31">
        <v>70218186</v>
      </c>
      <c r="H19" s="32" t="s">
        <v>44</v>
      </c>
      <c r="I19" s="32"/>
      <c r="J19" s="32" t="s">
        <v>5</v>
      </c>
      <c r="K19" s="32" t="s">
        <v>84</v>
      </c>
      <c r="L19" s="32" t="s">
        <v>3</v>
      </c>
      <c r="M19" s="32" t="s">
        <v>63</v>
      </c>
      <c r="N19" s="39">
        <v>44920.72</v>
      </c>
      <c r="O19" s="39">
        <v>50003.01</v>
      </c>
      <c r="P19" s="32" t="s">
        <v>126</v>
      </c>
      <c r="Q19" s="32" t="s">
        <v>393</v>
      </c>
      <c r="R19" s="32" t="s">
        <v>64</v>
      </c>
      <c r="S19" s="32" t="s">
        <v>40</v>
      </c>
      <c r="T19" s="32" t="s">
        <v>912</v>
      </c>
      <c r="U19" s="32" t="s">
        <v>4</v>
      </c>
      <c r="V19" s="45">
        <v>49125.49</v>
      </c>
      <c r="W19" s="32" t="s">
        <v>640</v>
      </c>
      <c r="X19" s="32" t="s">
        <v>832</v>
      </c>
      <c r="Y19" s="32" t="s">
        <v>940</v>
      </c>
      <c r="Z19" s="53">
        <v>11069670</v>
      </c>
      <c r="AA19" s="32" t="s">
        <v>33</v>
      </c>
      <c r="AB19" s="32" t="s">
        <v>36</v>
      </c>
      <c r="AC19" s="32" t="s">
        <v>808</v>
      </c>
      <c r="AD19" s="32" t="s">
        <v>65</v>
      </c>
      <c r="AE19" s="45">
        <v>98000</v>
      </c>
      <c r="AF19" s="53" t="s">
        <v>34</v>
      </c>
      <c r="AG19" s="30" t="s">
        <v>4</v>
      </c>
      <c r="AH19" s="32" t="s">
        <v>913</v>
      </c>
      <c r="AI19" s="32" t="s">
        <v>869</v>
      </c>
      <c r="AJ19" s="32" t="s">
        <v>842</v>
      </c>
      <c r="AK19" s="32" t="s">
        <v>823</v>
      </c>
      <c r="AL19" s="32"/>
      <c r="AM19" s="32" t="s">
        <v>855</v>
      </c>
      <c r="AN19" s="32"/>
      <c r="AO19" s="32" t="s">
        <v>914</v>
      </c>
      <c r="AP19" s="32" t="s">
        <v>957</v>
      </c>
      <c r="AQ19" s="32"/>
      <c r="AR19" s="32"/>
      <c r="AS19" s="32"/>
      <c r="AT19" s="32"/>
      <c r="AU19" s="32"/>
      <c r="AV19" s="32"/>
      <c r="AW19" s="32"/>
      <c r="AX19" s="32"/>
      <c r="AY19" s="32"/>
      <c r="AZ19" s="32"/>
      <c r="BA19" s="32"/>
    </row>
    <row r="20" spans="1:53" s="105" customFormat="1" ht="15" customHeight="1" x14ac:dyDescent="0.2">
      <c r="A20" s="30">
        <v>18</v>
      </c>
      <c r="B20" s="32" t="s">
        <v>421</v>
      </c>
      <c r="C20" s="32" t="str">
        <f t="shared" si="0"/>
        <v>194435019477924</v>
      </c>
      <c r="D20" s="30">
        <v>1944350</v>
      </c>
      <c r="E20" s="30">
        <v>19477924</v>
      </c>
      <c r="F20" s="31" t="s">
        <v>806</v>
      </c>
      <c r="G20" s="31">
        <v>70218186</v>
      </c>
      <c r="H20" s="32" t="s">
        <v>44</v>
      </c>
      <c r="I20" s="32"/>
      <c r="J20" s="32" t="s">
        <v>5</v>
      </c>
      <c r="K20" s="32" t="s">
        <v>84</v>
      </c>
      <c r="L20" s="32" t="s">
        <v>3</v>
      </c>
      <c r="M20" s="32" t="s">
        <v>63</v>
      </c>
      <c r="N20" s="39">
        <v>44378.21</v>
      </c>
      <c r="O20" s="39">
        <v>49317.45</v>
      </c>
      <c r="P20" s="32" t="s">
        <v>126</v>
      </c>
      <c r="Q20" s="32" t="s">
        <v>32</v>
      </c>
      <c r="R20" s="32" t="s">
        <v>64</v>
      </c>
      <c r="S20" s="32" t="s">
        <v>40</v>
      </c>
      <c r="T20" s="68" t="s">
        <v>912</v>
      </c>
      <c r="U20" s="32" t="s">
        <v>4</v>
      </c>
      <c r="V20" s="45">
        <v>49125.49</v>
      </c>
      <c r="W20" s="32" t="s">
        <v>640</v>
      </c>
      <c r="X20" s="68" t="s">
        <v>832</v>
      </c>
      <c r="Y20" s="32" t="s">
        <v>940</v>
      </c>
      <c r="Z20" s="53">
        <v>11069670</v>
      </c>
      <c r="AA20" s="32" t="s">
        <v>33</v>
      </c>
      <c r="AB20" s="32" t="s">
        <v>36</v>
      </c>
      <c r="AC20" s="32" t="s">
        <v>808</v>
      </c>
      <c r="AD20" s="32" t="s">
        <v>65</v>
      </c>
      <c r="AE20" s="45">
        <v>98000</v>
      </c>
      <c r="AF20" s="53" t="s">
        <v>34</v>
      </c>
      <c r="AG20" s="30" t="s">
        <v>4</v>
      </c>
      <c r="AH20" s="32" t="s">
        <v>913</v>
      </c>
      <c r="AI20" s="32" t="s">
        <v>869</v>
      </c>
      <c r="AJ20" s="32" t="s">
        <v>842</v>
      </c>
      <c r="AK20" s="32" t="s">
        <v>823</v>
      </c>
      <c r="AL20" s="32"/>
      <c r="AM20" s="32" t="s">
        <v>855</v>
      </c>
      <c r="AN20" s="32"/>
      <c r="AO20" s="32" t="s">
        <v>914</v>
      </c>
      <c r="AP20" s="32" t="s">
        <v>957</v>
      </c>
      <c r="AQ20" s="32" t="s">
        <v>310</v>
      </c>
      <c r="AR20" s="32"/>
      <c r="AS20" s="32"/>
      <c r="AT20" s="32"/>
      <c r="AU20" s="32"/>
      <c r="AV20" s="32"/>
      <c r="AW20" s="32"/>
      <c r="AX20" s="32"/>
      <c r="AY20" s="32"/>
      <c r="AZ20" s="32"/>
      <c r="BA20" s="32"/>
    </row>
    <row r="21" spans="1:53" s="105" customFormat="1" ht="13.5" customHeight="1" x14ac:dyDescent="0.2">
      <c r="A21" s="30">
        <v>19</v>
      </c>
      <c r="B21" s="31" t="s">
        <v>301</v>
      </c>
      <c r="C21" s="32" t="str">
        <f t="shared" si="0"/>
        <v>216412419271703</v>
      </c>
      <c r="D21" s="30">
        <v>2164124</v>
      </c>
      <c r="E21" s="30">
        <v>19271703</v>
      </c>
      <c r="F21" s="31" t="s">
        <v>589</v>
      </c>
      <c r="G21" s="31">
        <v>43610954</v>
      </c>
      <c r="H21" s="32" t="s">
        <v>44</v>
      </c>
      <c r="I21" s="32"/>
      <c r="J21" s="32" t="s">
        <v>5</v>
      </c>
      <c r="K21" s="32" t="s">
        <v>422</v>
      </c>
      <c r="L21" s="32" t="s">
        <v>3</v>
      </c>
      <c r="M21" s="32" t="s">
        <v>63</v>
      </c>
      <c r="N21" s="39">
        <v>30698.400000000001</v>
      </c>
      <c r="O21" s="39">
        <v>35719.82</v>
      </c>
      <c r="P21" s="32" t="s">
        <v>126</v>
      </c>
      <c r="Q21" s="32" t="s">
        <v>41</v>
      </c>
      <c r="R21" s="32" t="s">
        <v>442</v>
      </c>
      <c r="S21" s="32" t="s">
        <v>459</v>
      </c>
      <c r="T21" s="32" t="s">
        <v>741</v>
      </c>
      <c r="U21" s="32" t="s">
        <v>4</v>
      </c>
      <c r="V21" s="45">
        <v>36192.949999999997</v>
      </c>
      <c r="W21" s="31" t="s">
        <v>597</v>
      </c>
      <c r="X21" s="32" t="s">
        <v>596</v>
      </c>
      <c r="Y21" s="32" t="s">
        <v>595</v>
      </c>
      <c r="Z21" s="53">
        <v>7000241</v>
      </c>
      <c r="AA21" s="32" t="s">
        <v>33</v>
      </c>
      <c r="AB21" s="32" t="s">
        <v>36</v>
      </c>
      <c r="AC21" s="32" t="s">
        <v>40</v>
      </c>
      <c r="AD21" s="32" t="s">
        <v>109</v>
      </c>
      <c r="AE21" s="45">
        <v>37000</v>
      </c>
      <c r="AF21" s="31" t="s">
        <v>34</v>
      </c>
      <c r="AG21" s="30" t="s">
        <v>4</v>
      </c>
      <c r="AH21" s="32" t="s">
        <v>695</v>
      </c>
      <c r="AI21" s="32" t="s">
        <v>696</v>
      </c>
      <c r="AJ21" s="32" t="s">
        <v>761</v>
      </c>
      <c r="AK21" s="44" t="s">
        <v>590</v>
      </c>
      <c r="AL21" s="32"/>
      <c r="AM21" s="32"/>
      <c r="AN21" s="32"/>
      <c r="AO21" s="32" t="s">
        <v>779</v>
      </c>
      <c r="AP21" s="32"/>
      <c r="AQ21" s="32" t="s">
        <v>790</v>
      </c>
      <c r="AR21" s="32"/>
      <c r="AS21" s="32" t="s">
        <v>791</v>
      </c>
      <c r="AT21" s="32"/>
      <c r="AU21" s="32"/>
      <c r="AV21" s="32"/>
      <c r="AW21" s="32"/>
      <c r="AX21" s="32"/>
      <c r="AY21" s="32"/>
      <c r="AZ21" s="32"/>
      <c r="BA21" s="32"/>
    </row>
    <row r="22" spans="1:53" s="105" customFormat="1" ht="12.75" customHeight="1" x14ac:dyDescent="0.2">
      <c r="A22" s="30">
        <v>20</v>
      </c>
      <c r="B22" s="32" t="s">
        <v>301</v>
      </c>
      <c r="C22" s="32" t="str">
        <f t="shared" si="0"/>
        <v>362032914954019</v>
      </c>
      <c r="D22" s="30">
        <v>3620329</v>
      </c>
      <c r="E22" s="30">
        <v>14954019</v>
      </c>
      <c r="F22" s="32" t="s">
        <v>283</v>
      </c>
      <c r="G22" s="32" t="s">
        <v>285</v>
      </c>
      <c r="H22" s="32" t="s">
        <v>44</v>
      </c>
      <c r="I22" s="32" t="s">
        <v>904</v>
      </c>
      <c r="J22" s="32" t="s">
        <v>5</v>
      </c>
      <c r="K22" s="32" t="s">
        <v>84</v>
      </c>
      <c r="L22" s="32" t="s">
        <v>3</v>
      </c>
      <c r="M22" s="32" t="s">
        <v>68</v>
      </c>
      <c r="N22" s="39">
        <v>35910.339999999997</v>
      </c>
      <c r="O22" s="39">
        <v>36775.14</v>
      </c>
      <c r="P22" s="32" t="s">
        <v>67</v>
      </c>
      <c r="Q22" s="32" t="s">
        <v>41</v>
      </c>
      <c r="R22" s="32" t="s">
        <v>64</v>
      </c>
      <c r="S22" s="32" t="s">
        <v>35</v>
      </c>
      <c r="T22" s="32" t="s">
        <v>369</v>
      </c>
      <c r="U22" s="32" t="s">
        <v>44</v>
      </c>
      <c r="V22" s="86" t="s">
        <v>370</v>
      </c>
      <c r="W22" s="32" t="s">
        <v>371</v>
      </c>
      <c r="X22" s="32" t="s">
        <v>40</v>
      </c>
      <c r="Y22" s="32" t="s">
        <v>40</v>
      </c>
      <c r="Z22" s="67" t="s">
        <v>40</v>
      </c>
      <c r="AA22" s="32" t="s">
        <v>40</v>
      </c>
      <c r="AB22" s="32" t="s">
        <v>40</v>
      </c>
      <c r="AC22" s="32" t="s">
        <v>40</v>
      </c>
      <c r="AD22" s="32" t="s">
        <v>40</v>
      </c>
      <c r="AE22" s="45" t="s">
        <v>40</v>
      </c>
      <c r="AF22" s="31"/>
      <c r="AG22" s="30"/>
      <c r="AH22" s="32"/>
      <c r="AI22" s="32"/>
      <c r="AJ22" s="32"/>
      <c r="AK22" s="32"/>
      <c r="AL22" s="32"/>
      <c r="AM22" s="32"/>
      <c r="AN22" s="32"/>
      <c r="AO22" s="32" t="s">
        <v>306</v>
      </c>
      <c r="AP22" s="32"/>
      <c r="AQ22" s="32" t="s">
        <v>307</v>
      </c>
      <c r="AR22" s="32"/>
      <c r="AS22" s="32" t="s">
        <v>411</v>
      </c>
      <c r="AT22" s="32"/>
      <c r="AU22" s="32"/>
      <c r="AV22" s="32"/>
      <c r="AW22" s="32"/>
      <c r="AX22" s="32"/>
      <c r="AY22" s="32"/>
      <c r="AZ22" s="32" t="s">
        <v>307</v>
      </c>
      <c r="BA22" s="32"/>
    </row>
    <row r="23" spans="1:53" s="105" customFormat="1" ht="13.5" customHeight="1" x14ac:dyDescent="0.2">
      <c r="A23" s="30">
        <v>21</v>
      </c>
      <c r="B23" s="32" t="s">
        <v>421</v>
      </c>
      <c r="C23" s="32" t="str">
        <f t="shared" si="0"/>
        <v>359619017454936</v>
      </c>
      <c r="D23" s="30">
        <v>3596190</v>
      </c>
      <c r="E23" s="30">
        <v>17454936</v>
      </c>
      <c r="F23" s="31" t="s">
        <v>703</v>
      </c>
      <c r="G23" s="31">
        <v>46134815</v>
      </c>
      <c r="H23" s="32" t="s">
        <v>44</v>
      </c>
      <c r="I23" s="32" t="s">
        <v>704</v>
      </c>
      <c r="J23" s="32" t="s">
        <v>5</v>
      </c>
      <c r="K23" s="32" t="s">
        <v>84</v>
      </c>
      <c r="L23" s="32" t="s">
        <v>3</v>
      </c>
      <c r="M23" s="32" t="s">
        <v>63</v>
      </c>
      <c r="N23" s="39">
        <v>376.2</v>
      </c>
      <c r="O23" s="39">
        <v>900.78</v>
      </c>
      <c r="P23" s="32" t="s">
        <v>126</v>
      </c>
      <c r="Q23" s="32" t="s">
        <v>41</v>
      </c>
      <c r="R23" s="32" t="s">
        <v>64</v>
      </c>
      <c r="S23" s="32" t="s">
        <v>459</v>
      </c>
      <c r="T23" s="32" t="s">
        <v>784</v>
      </c>
      <c r="U23" s="32" t="s">
        <v>4</v>
      </c>
      <c r="V23" s="86">
        <v>21247.599999999999</v>
      </c>
      <c r="W23" s="32" t="s">
        <v>707</v>
      </c>
      <c r="X23" s="32" t="s">
        <v>706</v>
      </c>
      <c r="Y23" s="32" t="s">
        <v>708</v>
      </c>
      <c r="Z23" s="67">
        <v>11095869</v>
      </c>
      <c r="AA23" s="32" t="s">
        <v>33</v>
      </c>
      <c r="AB23" s="32" t="s">
        <v>36</v>
      </c>
      <c r="AC23" s="32" t="s">
        <v>40</v>
      </c>
      <c r="AD23" s="32" t="s">
        <v>65</v>
      </c>
      <c r="AE23" s="45">
        <v>22000</v>
      </c>
      <c r="AF23" s="31" t="s">
        <v>34</v>
      </c>
      <c r="AG23" s="30" t="s">
        <v>4</v>
      </c>
      <c r="AH23" s="32" t="s">
        <v>744</v>
      </c>
      <c r="AI23" s="32" t="s">
        <v>754</v>
      </c>
      <c r="AJ23" s="32" t="s">
        <v>718</v>
      </c>
      <c r="AK23" s="44" t="s">
        <v>709</v>
      </c>
      <c r="AL23" s="44"/>
      <c r="AM23" s="44" t="s">
        <v>710</v>
      </c>
      <c r="AN23" s="32"/>
      <c r="AO23" s="32" t="s">
        <v>843</v>
      </c>
      <c r="AP23" s="32" t="s">
        <v>844</v>
      </c>
      <c r="AQ23" s="32" t="s">
        <v>844</v>
      </c>
      <c r="AR23" s="32"/>
      <c r="AS23" s="32" t="s">
        <v>855</v>
      </c>
      <c r="AT23" s="32"/>
      <c r="AU23" s="32"/>
      <c r="AV23" s="32"/>
      <c r="AW23" s="32"/>
      <c r="AX23" s="32"/>
      <c r="AY23" s="32"/>
      <c r="AZ23" s="32"/>
      <c r="BA23" s="32"/>
    </row>
    <row r="24" spans="1:53" s="105" customFormat="1" ht="12.75" customHeight="1" x14ac:dyDescent="0.2">
      <c r="A24" s="30">
        <v>22</v>
      </c>
      <c r="B24" s="32" t="s">
        <v>301</v>
      </c>
      <c r="C24" s="32" t="str">
        <f t="shared" si="0"/>
        <v>14992448083742</v>
      </c>
      <c r="D24" s="30">
        <v>1499244</v>
      </c>
      <c r="E24" s="30">
        <v>8083742</v>
      </c>
      <c r="F24" s="31" t="s">
        <v>99</v>
      </c>
      <c r="G24" s="31">
        <v>19841930</v>
      </c>
      <c r="H24" s="32" t="s">
        <v>44</v>
      </c>
      <c r="I24" s="32" t="s">
        <v>948</v>
      </c>
      <c r="J24" s="32" t="s">
        <v>5</v>
      </c>
      <c r="K24" s="32" t="s">
        <v>84</v>
      </c>
      <c r="L24" s="32" t="s">
        <v>3</v>
      </c>
      <c r="M24" s="32" t="s">
        <v>63</v>
      </c>
      <c r="N24" s="39">
        <v>208740.17</v>
      </c>
      <c r="O24" s="39">
        <v>216004.65</v>
      </c>
      <c r="P24" s="32" t="s">
        <v>50</v>
      </c>
      <c r="Q24" s="32" t="s">
        <v>32</v>
      </c>
      <c r="R24" s="32" t="s">
        <v>64</v>
      </c>
      <c r="S24" s="32" t="s">
        <v>36</v>
      </c>
      <c r="T24" s="42" t="s">
        <v>100</v>
      </c>
      <c r="U24" s="31" t="s">
        <v>44</v>
      </c>
      <c r="V24" s="81">
        <v>213524.22</v>
      </c>
      <c r="W24" s="32" t="s">
        <v>69</v>
      </c>
      <c r="X24" s="32" t="s">
        <v>40</v>
      </c>
      <c r="Y24" s="32" t="s">
        <v>101</v>
      </c>
      <c r="Z24" s="69" t="s">
        <v>102</v>
      </c>
      <c r="AA24" s="32" t="s">
        <v>33</v>
      </c>
      <c r="AB24" s="32" t="s">
        <v>36</v>
      </c>
      <c r="AC24" s="32"/>
      <c r="AD24" s="43" t="s">
        <v>65</v>
      </c>
      <c r="AE24" s="45" t="s">
        <v>133</v>
      </c>
      <c r="AF24" s="31" t="s">
        <v>134</v>
      </c>
      <c r="AG24" s="30" t="s">
        <v>4</v>
      </c>
      <c r="AH24" s="32" t="s">
        <v>103</v>
      </c>
      <c r="AI24" s="32"/>
      <c r="AJ24" s="32"/>
      <c r="AK24" s="44"/>
      <c r="AL24" s="32"/>
      <c r="AM24" s="32"/>
      <c r="AN24" s="32" t="s">
        <v>188</v>
      </c>
      <c r="AO24" s="32" t="s">
        <v>61</v>
      </c>
      <c r="AP24" s="32"/>
      <c r="AQ24" s="32" t="s">
        <v>82</v>
      </c>
      <c r="AR24" s="32"/>
      <c r="AS24" s="32" t="s">
        <v>297</v>
      </c>
      <c r="AT24" s="32"/>
      <c r="AU24" s="32"/>
      <c r="AV24" s="32"/>
      <c r="AW24" s="32"/>
      <c r="AX24" s="32"/>
      <c r="AY24" s="32"/>
      <c r="AZ24" s="32" t="s">
        <v>949</v>
      </c>
      <c r="BA24" s="32" t="s">
        <v>950</v>
      </c>
    </row>
    <row r="25" spans="1:53" s="105" customFormat="1" ht="13.5" customHeight="1" x14ac:dyDescent="0.2">
      <c r="A25" s="30">
        <v>23</v>
      </c>
      <c r="B25" s="32" t="s">
        <v>301</v>
      </c>
      <c r="C25" s="32" t="str">
        <f t="shared" si="0"/>
        <v>405273515269769</v>
      </c>
      <c r="D25" s="30">
        <v>4052735</v>
      </c>
      <c r="E25" s="30">
        <v>15269769</v>
      </c>
      <c r="F25" s="32" t="s">
        <v>552</v>
      </c>
      <c r="G25" s="31">
        <v>41271490</v>
      </c>
      <c r="H25" s="32" t="s">
        <v>44</v>
      </c>
      <c r="I25" s="32"/>
      <c r="J25" s="32" t="s">
        <v>37</v>
      </c>
      <c r="K25" s="32" t="s">
        <v>71</v>
      </c>
      <c r="L25" s="32" t="s">
        <v>3</v>
      </c>
      <c r="M25" s="32" t="s">
        <v>63</v>
      </c>
      <c r="N25" s="39">
        <v>60643.68</v>
      </c>
      <c r="O25" s="39">
        <v>67886.59</v>
      </c>
      <c r="P25" s="32" t="s">
        <v>126</v>
      </c>
      <c r="Q25" s="32" t="s">
        <v>111</v>
      </c>
      <c r="R25" s="32" t="s">
        <v>64</v>
      </c>
      <c r="S25" s="32"/>
      <c r="T25" s="32" t="s">
        <v>343</v>
      </c>
      <c r="U25" s="32" t="s">
        <v>4</v>
      </c>
      <c r="V25" s="81">
        <v>67590.350000000006</v>
      </c>
      <c r="W25" s="32" t="s">
        <v>154</v>
      </c>
      <c r="X25" s="32" t="s">
        <v>342</v>
      </c>
      <c r="Y25" s="43" t="s">
        <v>313</v>
      </c>
      <c r="Z25" s="69">
        <v>11005717</v>
      </c>
      <c r="AA25" s="32" t="s">
        <v>33</v>
      </c>
      <c r="AB25" s="32" t="s">
        <v>35</v>
      </c>
      <c r="AC25" s="43" t="s">
        <v>314</v>
      </c>
      <c r="AD25" s="32" t="s">
        <v>65</v>
      </c>
      <c r="AE25" s="45">
        <v>68000</v>
      </c>
      <c r="AF25" s="31" t="s">
        <v>34</v>
      </c>
      <c r="AG25" s="30" t="s">
        <v>4</v>
      </c>
      <c r="AH25" s="32" t="s">
        <v>374</v>
      </c>
      <c r="AI25" s="32" t="s">
        <v>364</v>
      </c>
      <c r="AJ25" s="32" t="s">
        <v>842</v>
      </c>
      <c r="AK25" s="32" t="s">
        <v>315</v>
      </c>
      <c r="AL25" s="32"/>
      <c r="AM25" s="32" t="s">
        <v>344</v>
      </c>
      <c r="AN25" s="32"/>
      <c r="AO25" s="32" t="s">
        <v>332</v>
      </c>
      <c r="AP25" s="32" t="s">
        <v>386</v>
      </c>
      <c r="AQ25" s="32" t="s">
        <v>405</v>
      </c>
      <c r="AR25" s="32"/>
      <c r="AS25" s="32" t="s">
        <v>486</v>
      </c>
      <c r="AT25" s="32" t="s">
        <v>533</v>
      </c>
      <c r="AU25" s="32" t="s">
        <v>569</v>
      </c>
      <c r="AV25" s="32"/>
      <c r="AW25" s="32"/>
      <c r="AX25" s="32"/>
      <c r="AY25" s="32"/>
      <c r="AZ25" s="32" t="s">
        <v>953</v>
      </c>
      <c r="BA25" s="32" t="s">
        <v>954</v>
      </c>
    </row>
    <row r="26" spans="1:53" s="105" customFormat="1" ht="15.75" customHeight="1" x14ac:dyDescent="0.2">
      <c r="A26" s="30">
        <v>24</v>
      </c>
      <c r="B26" s="32" t="s">
        <v>301</v>
      </c>
      <c r="C26" s="32" t="s">
        <v>196</v>
      </c>
      <c r="D26" s="30">
        <v>2113928</v>
      </c>
      <c r="E26" s="30">
        <v>10618026</v>
      </c>
      <c r="F26" s="32" t="s">
        <v>195</v>
      </c>
      <c r="G26" s="31">
        <v>46523682</v>
      </c>
      <c r="H26" s="32" t="s">
        <v>4</v>
      </c>
      <c r="I26" s="32"/>
      <c r="J26" s="32" t="s">
        <v>6</v>
      </c>
      <c r="K26" s="32" t="s">
        <v>62</v>
      </c>
      <c r="L26" s="32" t="s">
        <v>3</v>
      </c>
      <c r="M26" s="32" t="s">
        <v>63</v>
      </c>
      <c r="N26" s="39">
        <v>35188.120000000003</v>
      </c>
      <c r="O26" s="39">
        <v>35188.120000000003</v>
      </c>
      <c r="P26" s="32" t="s">
        <v>50</v>
      </c>
      <c r="Q26" s="32" t="s">
        <v>32</v>
      </c>
      <c r="R26" s="32" t="s">
        <v>64</v>
      </c>
      <c r="S26" s="32" t="s">
        <v>36</v>
      </c>
      <c r="T26" s="32" t="s">
        <v>203</v>
      </c>
      <c r="U26" s="32" t="s">
        <v>44</v>
      </c>
      <c r="V26" s="45">
        <v>110036.44</v>
      </c>
      <c r="W26" s="32" t="s">
        <v>191</v>
      </c>
      <c r="X26" s="32" t="s">
        <v>40</v>
      </c>
      <c r="Y26" s="32" t="s">
        <v>906</v>
      </c>
      <c r="Z26" s="67">
        <v>11039628</v>
      </c>
      <c r="AA26" s="32" t="s">
        <v>33</v>
      </c>
      <c r="AB26" s="32" t="s">
        <v>36</v>
      </c>
      <c r="AC26" s="32" t="s">
        <v>40</v>
      </c>
      <c r="AD26" s="32" t="s">
        <v>40</v>
      </c>
      <c r="AE26" s="45" t="s">
        <v>201</v>
      </c>
      <c r="AF26" s="31" t="s">
        <v>134</v>
      </c>
      <c r="AG26" s="30" t="s">
        <v>4</v>
      </c>
      <c r="AH26" s="32" t="s">
        <v>202</v>
      </c>
      <c r="AI26" s="32"/>
      <c r="AJ26" s="32"/>
      <c r="AK26" s="32"/>
      <c r="AL26" s="32"/>
      <c r="AM26" s="32"/>
      <c r="AN26" s="32"/>
      <c r="AO26" s="32" t="s">
        <v>173</v>
      </c>
      <c r="AP26" s="32"/>
      <c r="AQ26" s="32" t="s">
        <v>174</v>
      </c>
      <c r="AR26" s="32"/>
      <c r="AS26" s="32" t="s">
        <v>244</v>
      </c>
      <c r="AT26" s="32"/>
      <c r="AU26" s="32"/>
      <c r="AV26" s="32"/>
      <c r="AW26" s="32" t="s">
        <v>542</v>
      </c>
      <c r="AX26" s="32"/>
      <c r="AY26" s="32"/>
      <c r="AZ26" s="32" t="s">
        <v>759</v>
      </c>
      <c r="BA26" s="32" t="s">
        <v>840</v>
      </c>
    </row>
    <row r="27" spans="1:53" s="105" customFormat="1" ht="13.5" customHeight="1" x14ac:dyDescent="0.2">
      <c r="A27" s="30">
        <v>25</v>
      </c>
      <c r="B27" s="32" t="s">
        <v>301</v>
      </c>
      <c r="C27" s="32" t="s">
        <v>197</v>
      </c>
      <c r="D27" s="30">
        <v>2113928</v>
      </c>
      <c r="E27" s="30">
        <v>11856165</v>
      </c>
      <c r="F27" s="32" t="s">
        <v>195</v>
      </c>
      <c r="G27" s="31" t="s">
        <v>198</v>
      </c>
      <c r="H27" s="32" t="s">
        <v>4</v>
      </c>
      <c r="I27" s="32"/>
      <c r="J27" s="32" t="s">
        <v>6</v>
      </c>
      <c r="K27" s="32" t="s">
        <v>62</v>
      </c>
      <c r="L27" s="32" t="s">
        <v>3</v>
      </c>
      <c r="M27" s="32" t="s">
        <v>63</v>
      </c>
      <c r="N27" s="39">
        <v>62669.09</v>
      </c>
      <c r="O27" s="39">
        <v>62669.09</v>
      </c>
      <c r="P27" s="32" t="s">
        <v>50</v>
      </c>
      <c r="Q27" s="32" t="s">
        <v>32</v>
      </c>
      <c r="R27" s="32" t="s">
        <v>64</v>
      </c>
      <c r="S27" s="32" t="s">
        <v>36</v>
      </c>
      <c r="T27" s="32" t="s">
        <v>203</v>
      </c>
      <c r="U27" s="32" t="s">
        <v>44</v>
      </c>
      <c r="V27" s="45">
        <v>110036.44</v>
      </c>
      <c r="W27" s="32" t="s">
        <v>191</v>
      </c>
      <c r="X27" s="32" t="s">
        <v>40</v>
      </c>
      <c r="Y27" s="32" t="s">
        <v>200</v>
      </c>
      <c r="Z27" s="67">
        <v>11039628</v>
      </c>
      <c r="AA27" s="32" t="s">
        <v>33</v>
      </c>
      <c r="AB27" s="32" t="s">
        <v>36</v>
      </c>
      <c r="AC27" s="32" t="s">
        <v>40</v>
      </c>
      <c r="AD27" s="32" t="s">
        <v>40</v>
      </c>
      <c r="AE27" s="45" t="s">
        <v>201</v>
      </c>
      <c r="AF27" s="31" t="s">
        <v>134</v>
      </c>
      <c r="AG27" s="30" t="s">
        <v>4</v>
      </c>
      <c r="AH27" s="32" t="s">
        <v>202</v>
      </c>
      <c r="AI27" s="32"/>
      <c r="AJ27" s="32"/>
      <c r="AK27" s="32"/>
      <c r="AL27" s="32"/>
      <c r="AM27" s="32"/>
      <c r="AN27" s="32"/>
      <c r="AO27" s="32" t="s">
        <v>173</v>
      </c>
      <c r="AP27" s="32"/>
      <c r="AQ27" s="32" t="s">
        <v>174</v>
      </c>
      <c r="AR27" s="32"/>
      <c r="AS27" s="32" t="s">
        <v>244</v>
      </c>
      <c r="AT27" s="32"/>
      <c r="AU27" s="32"/>
      <c r="AV27" s="32"/>
      <c r="AW27" s="32" t="s">
        <v>542</v>
      </c>
      <c r="AX27" s="32" t="s">
        <v>310</v>
      </c>
      <c r="AY27" s="32"/>
      <c r="AZ27" s="32" t="s">
        <v>759</v>
      </c>
      <c r="BA27" s="32"/>
    </row>
    <row r="28" spans="1:53" s="105" customFormat="1" ht="15.75" customHeight="1" x14ac:dyDescent="0.2">
      <c r="A28" s="30">
        <v>26</v>
      </c>
      <c r="B28" s="31" t="s">
        <v>301</v>
      </c>
      <c r="C28" s="32" t="s">
        <v>668</v>
      </c>
      <c r="D28" s="30">
        <v>3594968</v>
      </c>
      <c r="E28" s="30">
        <v>15146179</v>
      </c>
      <c r="F28" s="31" t="s">
        <v>439</v>
      </c>
      <c r="G28" s="31">
        <v>47736544</v>
      </c>
      <c r="H28" s="32" t="s">
        <v>44</v>
      </c>
      <c r="I28" s="32"/>
      <c r="J28" s="32" t="s">
        <v>5</v>
      </c>
      <c r="K28" s="32" t="s">
        <v>62</v>
      </c>
      <c r="L28" s="32"/>
      <c r="M28" s="32" t="s">
        <v>63</v>
      </c>
      <c r="N28" s="39">
        <v>27212.94</v>
      </c>
      <c r="O28" s="39">
        <v>32152.57</v>
      </c>
      <c r="P28" s="32" t="s">
        <v>126</v>
      </c>
      <c r="Q28" s="32" t="s">
        <v>351</v>
      </c>
      <c r="R28" s="32" t="s">
        <v>64</v>
      </c>
      <c r="S28" s="32" t="s">
        <v>40</v>
      </c>
      <c r="T28" s="32" t="s">
        <v>560</v>
      </c>
      <c r="U28" s="45" t="s">
        <v>4</v>
      </c>
      <c r="V28" s="81">
        <v>31763.48</v>
      </c>
      <c r="W28" s="31" t="s">
        <v>256</v>
      </c>
      <c r="X28" s="32" t="s">
        <v>450</v>
      </c>
      <c r="Y28" s="32" t="s">
        <v>929</v>
      </c>
      <c r="Z28" s="67">
        <v>11093212</v>
      </c>
      <c r="AA28" s="32" t="s">
        <v>33</v>
      </c>
      <c r="AB28" s="32" t="s">
        <v>36</v>
      </c>
      <c r="AC28" s="32" t="s">
        <v>40</v>
      </c>
      <c r="AD28" s="32" t="s">
        <v>65</v>
      </c>
      <c r="AE28" s="45">
        <v>32000</v>
      </c>
      <c r="AF28" s="31" t="s">
        <v>34</v>
      </c>
      <c r="AG28" s="30" t="s">
        <v>4</v>
      </c>
      <c r="AH28" s="32" t="s">
        <v>536</v>
      </c>
      <c r="AI28" s="32" t="s">
        <v>750</v>
      </c>
      <c r="AJ28" s="32" t="s">
        <v>718</v>
      </c>
      <c r="AK28" s="44" t="s">
        <v>451</v>
      </c>
      <c r="AL28" s="32"/>
      <c r="AM28" s="32" t="s">
        <v>489</v>
      </c>
      <c r="AN28" s="32" t="s">
        <v>749</v>
      </c>
      <c r="AO28" s="32" t="s">
        <v>546</v>
      </c>
      <c r="AP28" s="32"/>
      <c r="AQ28" s="32" t="s">
        <v>605</v>
      </c>
      <c r="AR28" s="32"/>
      <c r="AS28" s="32" t="s">
        <v>642</v>
      </c>
      <c r="AT28" s="32"/>
      <c r="AU28" s="32"/>
      <c r="AV28" s="32"/>
      <c r="AW28" s="32"/>
      <c r="AX28" s="32"/>
      <c r="AY28" s="32"/>
      <c r="AZ28" s="32" t="s">
        <v>749</v>
      </c>
      <c r="BA28" s="32" t="s">
        <v>751</v>
      </c>
    </row>
    <row r="29" spans="1:53" s="105" customFormat="1" ht="14.25" customHeight="1" x14ac:dyDescent="0.2">
      <c r="A29" s="30">
        <v>27</v>
      </c>
      <c r="B29" s="31" t="s">
        <v>301</v>
      </c>
      <c r="C29" s="32" t="str">
        <f t="shared" ref="C29:C60" si="1">D29&amp;E29</f>
        <v>29705748244074</v>
      </c>
      <c r="D29" s="30">
        <v>2970574</v>
      </c>
      <c r="E29" s="30">
        <v>8244074</v>
      </c>
      <c r="F29" s="31" t="s">
        <v>570</v>
      </c>
      <c r="G29" s="31">
        <v>20548602</v>
      </c>
      <c r="H29" s="32" t="s">
        <v>44</v>
      </c>
      <c r="I29" s="32"/>
      <c r="J29" s="32" t="s">
        <v>5</v>
      </c>
      <c r="K29" s="32" t="s">
        <v>84</v>
      </c>
      <c r="L29" s="32" t="s">
        <v>3</v>
      </c>
      <c r="M29" s="32" t="s">
        <v>63</v>
      </c>
      <c r="N29" s="39">
        <v>33310.94</v>
      </c>
      <c r="O29" s="39">
        <v>35545.19</v>
      </c>
      <c r="P29" s="32" t="s">
        <v>126</v>
      </c>
      <c r="Q29" s="32" t="s">
        <v>351</v>
      </c>
      <c r="R29" s="32" t="s">
        <v>571</v>
      </c>
      <c r="S29" s="32" t="s">
        <v>40</v>
      </c>
      <c r="T29" s="32" t="s">
        <v>787</v>
      </c>
      <c r="U29" s="32" t="s">
        <v>4</v>
      </c>
      <c r="V29" s="81">
        <v>35933.050000000003</v>
      </c>
      <c r="W29" s="32" t="s">
        <v>302</v>
      </c>
      <c r="X29" s="32" t="s">
        <v>788</v>
      </c>
      <c r="Y29" s="32" t="s">
        <v>572</v>
      </c>
      <c r="Z29" s="53" t="s">
        <v>573</v>
      </c>
      <c r="AA29" s="32" t="s">
        <v>33</v>
      </c>
      <c r="AB29" s="32" t="s">
        <v>36</v>
      </c>
      <c r="AC29" s="32" t="s">
        <v>40</v>
      </c>
      <c r="AD29" s="32" t="s">
        <v>586</v>
      </c>
      <c r="AE29" s="45">
        <v>36000</v>
      </c>
      <c r="AF29" s="31" t="s">
        <v>34</v>
      </c>
      <c r="AG29" s="30" t="s">
        <v>4</v>
      </c>
      <c r="AH29" s="32" t="s">
        <v>676</v>
      </c>
      <c r="AI29" s="32" t="s">
        <v>652</v>
      </c>
      <c r="AJ29" s="32" t="s">
        <v>718</v>
      </c>
      <c r="AK29" s="44" t="s">
        <v>566</v>
      </c>
      <c r="AL29" s="32"/>
      <c r="AM29" s="32" t="s">
        <v>630</v>
      </c>
      <c r="AN29" s="32"/>
      <c r="AO29" s="32" t="s">
        <v>694</v>
      </c>
      <c r="AP29" s="32"/>
      <c r="AQ29" s="32" t="s">
        <v>749</v>
      </c>
      <c r="AR29" s="32"/>
      <c r="AS29" s="32" t="s">
        <v>836</v>
      </c>
      <c r="AT29" s="32"/>
      <c r="AU29" s="32"/>
      <c r="AV29" s="32"/>
      <c r="AW29" s="32"/>
      <c r="AX29" s="32"/>
      <c r="AY29" s="32"/>
      <c r="AZ29" s="32"/>
      <c r="BA29" s="32"/>
    </row>
    <row r="30" spans="1:53" s="105" customFormat="1" ht="13.5" customHeight="1" x14ac:dyDescent="0.2">
      <c r="A30" s="30">
        <v>28</v>
      </c>
      <c r="B30" s="32" t="s">
        <v>421</v>
      </c>
      <c r="C30" s="32" t="str">
        <f t="shared" si="1"/>
        <v>385301418642154</v>
      </c>
      <c r="D30" s="30">
        <v>3853014</v>
      </c>
      <c r="E30" s="30">
        <v>18642154</v>
      </c>
      <c r="F30" s="31" t="s">
        <v>770</v>
      </c>
      <c r="G30" s="31">
        <v>20602477402</v>
      </c>
      <c r="H30" s="31" t="s">
        <v>44</v>
      </c>
      <c r="I30" s="31" t="s">
        <v>799</v>
      </c>
      <c r="J30" s="32" t="s">
        <v>5</v>
      </c>
      <c r="K30" s="32" t="s">
        <v>71</v>
      </c>
      <c r="L30" s="32" t="s">
        <v>3</v>
      </c>
      <c r="M30" s="32" t="s">
        <v>63</v>
      </c>
      <c r="N30" s="32"/>
      <c r="O30" s="32"/>
      <c r="P30" s="32" t="s">
        <v>126</v>
      </c>
      <c r="Q30" s="32" t="s">
        <v>41</v>
      </c>
      <c r="R30" s="32" t="s">
        <v>64</v>
      </c>
      <c r="S30" s="32" t="s">
        <v>40</v>
      </c>
      <c r="T30" s="32" t="s">
        <v>867</v>
      </c>
      <c r="U30" s="32" t="s">
        <v>4</v>
      </c>
      <c r="V30" s="106">
        <v>28585.22</v>
      </c>
      <c r="W30" s="32" t="s">
        <v>72</v>
      </c>
      <c r="X30" s="32" t="s">
        <v>800</v>
      </c>
      <c r="Y30" s="32" t="s">
        <v>775</v>
      </c>
      <c r="Z30" s="53" t="s">
        <v>845</v>
      </c>
      <c r="AA30" s="53" t="s">
        <v>33</v>
      </c>
      <c r="AB30" s="53" t="s">
        <v>459</v>
      </c>
      <c r="AC30" s="53" t="s">
        <v>40</v>
      </c>
      <c r="AD30" s="53" t="s">
        <v>65</v>
      </c>
      <c r="AE30" s="45">
        <v>29000</v>
      </c>
      <c r="AF30" s="53" t="s">
        <v>34</v>
      </c>
      <c r="AG30" s="30" t="s">
        <v>44</v>
      </c>
      <c r="AH30" s="32"/>
      <c r="AI30" s="32"/>
      <c r="AJ30" s="32"/>
      <c r="AK30" s="44" t="s">
        <v>801</v>
      </c>
      <c r="AL30" s="32"/>
      <c r="AM30" s="32"/>
      <c r="AN30" s="32"/>
      <c r="AO30" s="32"/>
      <c r="AP30" s="32"/>
      <c r="AQ30" s="32" t="s">
        <v>874</v>
      </c>
      <c r="AR30" s="32"/>
      <c r="AS30" s="32"/>
      <c r="AT30" s="32"/>
      <c r="AU30" s="32"/>
      <c r="AV30" s="32"/>
      <c r="AW30" s="32"/>
      <c r="AX30" s="32"/>
      <c r="AY30" s="32"/>
      <c r="AZ30" s="32"/>
      <c r="BA30" s="32"/>
    </row>
    <row r="31" spans="1:53" s="105" customFormat="1" ht="15" customHeight="1" x14ac:dyDescent="0.2">
      <c r="A31" s="30">
        <v>29</v>
      </c>
      <c r="B31" s="31" t="s">
        <v>301</v>
      </c>
      <c r="C31" s="32" t="str">
        <f t="shared" si="1"/>
        <v>291496317341566</v>
      </c>
      <c r="D31" s="30">
        <v>2914963</v>
      </c>
      <c r="E31" s="30">
        <v>17341566</v>
      </c>
      <c r="F31" s="31" t="s">
        <v>471</v>
      </c>
      <c r="G31" s="31" t="s">
        <v>497</v>
      </c>
      <c r="H31" s="32" t="s">
        <v>44</v>
      </c>
      <c r="I31" s="32" t="s">
        <v>792</v>
      </c>
      <c r="J31" s="32" t="s">
        <v>5</v>
      </c>
      <c r="K31" s="32" t="s">
        <v>71</v>
      </c>
      <c r="L31" s="32" t="s">
        <v>3</v>
      </c>
      <c r="M31" s="32" t="s">
        <v>63</v>
      </c>
      <c r="N31" s="39">
        <v>3985.11</v>
      </c>
      <c r="O31" s="39">
        <v>6067.28</v>
      </c>
      <c r="P31" s="32" t="s">
        <v>126</v>
      </c>
      <c r="Q31" s="32" t="s">
        <v>351</v>
      </c>
      <c r="R31" s="32" t="s">
        <v>64</v>
      </c>
      <c r="S31" s="32" t="s">
        <v>40</v>
      </c>
      <c r="T31" s="32" t="s">
        <v>568</v>
      </c>
      <c r="U31" s="32" t="s">
        <v>4</v>
      </c>
      <c r="V31" s="106">
        <v>44124.18</v>
      </c>
      <c r="W31" s="32" t="s">
        <v>72</v>
      </c>
      <c r="X31" s="32" t="s">
        <v>518</v>
      </c>
      <c r="Y31" s="32" t="s">
        <v>519</v>
      </c>
      <c r="Z31" s="67">
        <v>11076242</v>
      </c>
      <c r="AA31" s="32" t="s">
        <v>33</v>
      </c>
      <c r="AB31" s="32" t="s">
        <v>36</v>
      </c>
      <c r="AC31" s="32" t="s">
        <v>40</v>
      </c>
      <c r="AD31" s="32" t="s">
        <v>65</v>
      </c>
      <c r="AE31" s="45">
        <v>45000</v>
      </c>
      <c r="AF31" s="31" t="s">
        <v>34</v>
      </c>
      <c r="AG31" s="30" t="s">
        <v>4</v>
      </c>
      <c r="AH31" s="32" t="s">
        <v>569</v>
      </c>
      <c r="AI31" s="32"/>
      <c r="AJ31" s="32"/>
      <c r="AK31" s="44" t="s">
        <v>495</v>
      </c>
      <c r="AL31" s="32"/>
      <c r="AM31" s="32" t="s">
        <v>508</v>
      </c>
      <c r="AN31" s="32"/>
      <c r="AO31" s="32" t="s">
        <v>567</v>
      </c>
      <c r="AP31" s="32"/>
      <c r="AQ31" s="32" t="s">
        <v>580</v>
      </c>
      <c r="AR31" s="32"/>
      <c r="AS31" s="32" t="s">
        <v>604</v>
      </c>
      <c r="AT31" s="32" t="s">
        <v>861</v>
      </c>
      <c r="AU31" s="32"/>
      <c r="AV31" s="32"/>
      <c r="AW31" s="32"/>
      <c r="AX31" s="32"/>
      <c r="AY31" s="32"/>
      <c r="AZ31" s="32"/>
      <c r="BA31" s="32" t="s">
        <v>962</v>
      </c>
    </row>
    <row r="32" spans="1:53" s="105" customFormat="1" ht="15.75" customHeight="1" x14ac:dyDescent="0.2">
      <c r="A32" s="30">
        <v>30</v>
      </c>
      <c r="B32" s="56" t="s">
        <v>301</v>
      </c>
      <c r="C32" s="32" t="str">
        <f t="shared" si="1"/>
        <v>282204015757359</v>
      </c>
      <c r="D32" s="30">
        <v>2822040</v>
      </c>
      <c r="E32" s="30">
        <v>15757359</v>
      </c>
      <c r="F32" s="41" t="s">
        <v>356</v>
      </c>
      <c r="G32" s="41">
        <v>73133547</v>
      </c>
      <c r="H32" s="40" t="s">
        <v>44</v>
      </c>
      <c r="I32" s="40" t="s">
        <v>847</v>
      </c>
      <c r="J32" s="32" t="s">
        <v>37</v>
      </c>
      <c r="K32" s="32" t="s">
        <v>62</v>
      </c>
      <c r="L32" s="32" t="s">
        <v>3</v>
      </c>
      <c r="M32" s="32" t="s">
        <v>63</v>
      </c>
      <c r="N32" s="39">
        <v>48249.29</v>
      </c>
      <c r="O32" s="39">
        <v>54611.42</v>
      </c>
      <c r="P32" s="32" t="s">
        <v>126</v>
      </c>
      <c r="Q32" s="32" t="s">
        <v>32</v>
      </c>
      <c r="R32" s="32" t="s">
        <v>64</v>
      </c>
      <c r="S32" s="32" t="s">
        <v>40</v>
      </c>
      <c r="T32" s="32" t="s">
        <v>358</v>
      </c>
      <c r="U32" s="32" t="s">
        <v>4</v>
      </c>
      <c r="V32" s="45">
        <v>53753.09</v>
      </c>
      <c r="W32" s="32" t="s">
        <v>359</v>
      </c>
      <c r="X32" s="32" t="s">
        <v>357</v>
      </c>
      <c r="Y32" s="32" t="s">
        <v>360</v>
      </c>
      <c r="Z32" s="67">
        <v>2002028</v>
      </c>
      <c r="AA32" s="32" t="s">
        <v>33</v>
      </c>
      <c r="AB32" s="32" t="s">
        <v>36</v>
      </c>
      <c r="AC32" s="32" t="s">
        <v>40</v>
      </c>
      <c r="AD32" s="32" t="s">
        <v>109</v>
      </c>
      <c r="AE32" s="45">
        <v>54000</v>
      </c>
      <c r="AF32" s="31" t="s">
        <v>34</v>
      </c>
      <c r="AG32" s="30" t="s">
        <v>4</v>
      </c>
      <c r="AH32" s="32" t="s">
        <v>536</v>
      </c>
      <c r="AI32" s="32"/>
      <c r="AJ32" s="32"/>
      <c r="AK32" s="32" t="s">
        <v>344</v>
      </c>
      <c r="AL32" s="32"/>
      <c r="AM32" s="32" t="s">
        <v>489</v>
      </c>
      <c r="AN32" s="32" t="s">
        <v>468</v>
      </c>
      <c r="AO32" s="32" t="s">
        <v>546</v>
      </c>
      <c r="AP32" s="32"/>
      <c r="AQ32" s="32" t="s">
        <v>582</v>
      </c>
      <c r="AR32" s="32"/>
      <c r="AS32" s="32"/>
      <c r="AT32" s="32" t="s">
        <v>669</v>
      </c>
      <c r="AU32" s="32"/>
      <c r="AV32" s="32"/>
      <c r="AW32" s="32"/>
      <c r="AX32" s="32"/>
      <c r="AY32" s="32"/>
      <c r="AZ32" s="70" t="s">
        <v>546</v>
      </c>
      <c r="BA32" s="31" t="s">
        <v>534</v>
      </c>
    </row>
    <row r="33" spans="1:53" s="105" customFormat="1" ht="15" customHeight="1" x14ac:dyDescent="0.2">
      <c r="A33" s="30">
        <v>31</v>
      </c>
      <c r="B33" s="32" t="s">
        <v>301</v>
      </c>
      <c r="C33" s="32" t="str">
        <f t="shared" si="1"/>
        <v>300615511662050</v>
      </c>
      <c r="D33" s="30">
        <v>3006155</v>
      </c>
      <c r="E33" s="30">
        <v>11662050</v>
      </c>
      <c r="F33" s="32" t="s">
        <v>220</v>
      </c>
      <c r="G33" s="31" t="s">
        <v>221</v>
      </c>
      <c r="H33" s="32" t="s">
        <v>44</v>
      </c>
      <c r="I33" s="32"/>
      <c r="J33" s="32" t="s">
        <v>5</v>
      </c>
      <c r="K33" s="32" t="s">
        <v>62</v>
      </c>
      <c r="L33" s="32" t="s">
        <v>3</v>
      </c>
      <c r="M33" s="32" t="s">
        <v>63</v>
      </c>
      <c r="N33" s="39">
        <v>17719.669999999998</v>
      </c>
      <c r="O33" s="39">
        <v>26045.43</v>
      </c>
      <c r="P33" s="32" t="s">
        <v>126</v>
      </c>
      <c r="Q33" s="32" t="s">
        <v>41</v>
      </c>
      <c r="R33" s="32" t="s">
        <v>64</v>
      </c>
      <c r="S33" s="32" t="s">
        <v>36</v>
      </c>
      <c r="T33" s="32" t="s">
        <v>222</v>
      </c>
      <c r="U33" s="32" t="s">
        <v>4</v>
      </c>
      <c r="V33" s="45">
        <v>25958.43</v>
      </c>
      <c r="W33" s="32" t="s">
        <v>112</v>
      </c>
      <c r="X33" s="32" t="s">
        <v>223</v>
      </c>
      <c r="Y33" s="32" t="s">
        <v>224</v>
      </c>
      <c r="Z33" s="67" t="s">
        <v>225</v>
      </c>
      <c r="AA33" s="32" t="s">
        <v>33</v>
      </c>
      <c r="AB33" s="32" t="s">
        <v>36</v>
      </c>
      <c r="AC33" s="32" t="s">
        <v>40</v>
      </c>
      <c r="AD33" s="32" t="s">
        <v>65</v>
      </c>
      <c r="AE33" s="45">
        <v>26000</v>
      </c>
      <c r="AF33" s="31" t="s">
        <v>34</v>
      </c>
      <c r="AG33" s="30" t="s">
        <v>4</v>
      </c>
      <c r="AH33" s="32" t="s">
        <v>228</v>
      </c>
      <c r="AI33" s="32"/>
      <c r="AJ33" s="32"/>
      <c r="AK33" s="32" t="s">
        <v>215</v>
      </c>
      <c r="AL33" s="32"/>
      <c r="AM33" s="32" t="s">
        <v>238</v>
      </c>
      <c r="AN33" s="32"/>
      <c r="AO33" s="32" t="s">
        <v>239</v>
      </c>
      <c r="AP33" s="32"/>
      <c r="AQ33" s="32" t="s">
        <v>229</v>
      </c>
      <c r="AR33" s="32"/>
      <c r="AS33" s="32" t="s">
        <v>243</v>
      </c>
      <c r="AT33" s="32" t="s">
        <v>341</v>
      </c>
      <c r="AU33" s="32" t="s">
        <v>670</v>
      </c>
      <c r="AV33" s="32"/>
      <c r="AW33" s="32"/>
      <c r="AX33" s="32"/>
      <c r="AY33" s="32"/>
      <c r="AZ33" s="32" t="s">
        <v>566</v>
      </c>
      <c r="BA33" s="32" t="s">
        <v>583</v>
      </c>
    </row>
    <row r="34" spans="1:53" s="105" customFormat="1" ht="12.75" customHeight="1" x14ac:dyDescent="0.2">
      <c r="A34" s="30">
        <v>111</v>
      </c>
      <c r="B34" s="36" t="s">
        <v>421</v>
      </c>
      <c r="C34" s="36" t="str">
        <f t="shared" si="1"/>
        <v>302876118804195</v>
      </c>
      <c r="D34" s="110">
        <v>3028761</v>
      </c>
      <c r="E34" s="110">
        <v>18804195</v>
      </c>
      <c r="F34" s="31" t="s">
        <v>923</v>
      </c>
      <c r="G34" s="34">
        <v>43094165</v>
      </c>
      <c r="H34" s="32" t="s">
        <v>44</v>
      </c>
      <c r="I34" s="36" t="s">
        <v>942</v>
      </c>
      <c r="J34" s="32" t="s">
        <v>5</v>
      </c>
      <c r="K34" s="32" t="s">
        <v>71</v>
      </c>
      <c r="L34" s="32" t="s">
        <v>3</v>
      </c>
      <c r="M34" s="32" t="s">
        <v>63</v>
      </c>
      <c r="N34" s="36"/>
      <c r="O34" s="36"/>
      <c r="P34" s="32" t="s">
        <v>67</v>
      </c>
      <c r="Q34" s="32" t="s">
        <v>483</v>
      </c>
      <c r="R34" s="32" t="s">
        <v>64</v>
      </c>
      <c r="S34" s="32" t="s">
        <v>40</v>
      </c>
      <c r="T34" s="32" t="s">
        <v>924</v>
      </c>
      <c r="U34" s="32" t="s">
        <v>44</v>
      </c>
      <c r="V34" s="45">
        <v>6837.21</v>
      </c>
      <c r="W34" s="32" t="s">
        <v>72</v>
      </c>
      <c r="X34" s="36"/>
      <c r="Y34" s="36"/>
      <c r="Z34" s="51"/>
      <c r="AA34" s="36"/>
      <c r="AB34" s="36"/>
      <c r="AC34" s="36"/>
      <c r="AD34" s="36"/>
      <c r="AE34" s="36"/>
      <c r="AF34" s="59"/>
      <c r="AG34" s="38"/>
      <c r="AH34" s="36"/>
      <c r="AI34" s="36"/>
      <c r="AJ34" s="36"/>
      <c r="AK34" s="36"/>
      <c r="AL34" s="36"/>
      <c r="AM34" s="36"/>
      <c r="AN34" s="36"/>
      <c r="AO34" s="32" t="s">
        <v>925</v>
      </c>
      <c r="AP34" s="36"/>
      <c r="AQ34" s="36" t="s">
        <v>926</v>
      </c>
      <c r="AR34" s="36"/>
      <c r="AS34" s="36"/>
      <c r="AT34" s="36"/>
      <c r="AU34" s="36"/>
      <c r="AV34" s="36"/>
      <c r="AW34" s="36"/>
      <c r="AX34" s="36"/>
      <c r="AY34" s="36"/>
      <c r="AZ34" s="36"/>
      <c r="BA34" s="36"/>
    </row>
    <row r="35" spans="1:53" s="105" customFormat="1" ht="11.25" customHeight="1" x14ac:dyDescent="0.25">
      <c r="A35" s="30">
        <v>112</v>
      </c>
      <c r="B35" s="36" t="s">
        <v>421</v>
      </c>
      <c r="C35" s="36" t="str">
        <f t="shared" si="1"/>
        <v>302876119629173</v>
      </c>
      <c r="D35" s="30">
        <v>3028761</v>
      </c>
      <c r="E35" s="30">
        <v>19629173</v>
      </c>
      <c r="F35" s="31" t="s">
        <v>923</v>
      </c>
      <c r="G35" s="34">
        <v>43094165</v>
      </c>
      <c r="H35" s="32" t="s">
        <v>44</v>
      </c>
      <c r="I35" s="2"/>
      <c r="J35" s="32" t="s">
        <v>5</v>
      </c>
      <c r="K35" s="32" t="s">
        <v>71</v>
      </c>
      <c r="L35" s="32" t="s">
        <v>3</v>
      </c>
      <c r="M35" s="32" t="s">
        <v>63</v>
      </c>
      <c r="N35" s="2"/>
      <c r="O35" s="2"/>
      <c r="P35" s="32" t="s">
        <v>126</v>
      </c>
      <c r="Q35" s="32" t="s">
        <v>943</v>
      </c>
      <c r="R35" s="32" t="s">
        <v>64</v>
      </c>
      <c r="S35" s="32" t="s">
        <v>40</v>
      </c>
      <c r="T35" s="2"/>
      <c r="U35" s="32" t="s">
        <v>44</v>
      </c>
      <c r="V35" s="45">
        <v>80250.38</v>
      </c>
      <c r="W35" s="32" t="s">
        <v>504</v>
      </c>
      <c r="X35" s="32" t="s">
        <v>944</v>
      </c>
      <c r="Y35" s="32" t="s">
        <v>945</v>
      </c>
      <c r="Z35" s="111">
        <v>11069934</v>
      </c>
      <c r="AA35" s="32" t="s">
        <v>33</v>
      </c>
      <c r="AB35" s="32" t="s">
        <v>36</v>
      </c>
      <c r="AC35" s="32" t="s">
        <v>40</v>
      </c>
      <c r="AD35" s="32" t="s">
        <v>65</v>
      </c>
      <c r="AE35" s="45">
        <v>81000</v>
      </c>
      <c r="AF35" s="112" t="s">
        <v>34</v>
      </c>
      <c r="AG35" s="4" t="s">
        <v>44</v>
      </c>
      <c r="AH35" s="2"/>
      <c r="AI35" s="2"/>
      <c r="AJ35" s="2"/>
      <c r="AK35" s="2" t="s">
        <v>946</v>
      </c>
      <c r="AL35" s="2"/>
      <c r="AM35" s="2" t="s">
        <v>947</v>
      </c>
      <c r="AN35" s="2"/>
      <c r="AO35" s="2"/>
      <c r="AP35" s="2"/>
      <c r="AQ35" s="2"/>
      <c r="AR35" s="2"/>
      <c r="AS35" s="2"/>
      <c r="AT35" s="2"/>
      <c r="AU35" s="2"/>
      <c r="AV35" s="2"/>
      <c r="AW35" s="2"/>
      <c r="AX35" s="2"/>
      <c r="AY35" s="2"/>
      <c r="AZ35" s="2"/>
      <c r="BA35" s="2"/>
    </row>
    <row r="36" spans="1:53" s="68" customFormat="1" ht="15" customHeight="1" x14ac:dyDescent="0.2">
      <c r="A36" s="30">
        <v>32</v>
      </c>
      <c r="B36" s="32" t="s">
        <v>421</v>
      </c>
      <c r="C36" s="32" t="str">
        <f t="shared" si="1"/>
        <v>293417019080695</v>
      </c>
      <c r="D36" s="30">
        <v>2934170</v>
      </c>
      <c r="E36" s="98">
        <v>19080695</v>
      </c>
      <c r="F36" s="99" t="s">
        <v>769</v>
      </c>
      <c r="G36" s="31">
        <v>45980313</v>
      </c>
      <c r="H36" s="31" t="s">
        <v>44</v>
      </c>
      <c r="I36" s="32"/>
      <c r="J36" s="32" t="s">
        <v>5</v>
      </c>
      <c r="K36" s="32" t="s">
        <v>71</v>
      </c>
      <c r="L36" s="32" t="s">
        <v>3</v>
      </c>
      <c r="M36" s="32" t="s">
        <v>63</v>
      </c>
      <c r="N36" s="39">
        <v>29619.95</v>
      </c>
      <c r="O36" s="39">
        <v>32793.74</v>
      </c>
      <c r="P36" s="32" t="s">
        <v>126</v>
      </c>
      <c r="Q36" s="32" t="s">
        <v>41</v>
      </c>
      <c r="R36" s="32" t="s">
        <v>64</v>
      </c>
      <c r="S36" s="32" t="s">
        <v>40</v>
      </c>
      <c r="T36" s="32" t="s">
        <v>863</v>
      </c>
      <c r="U36" s="32" t="s">
        <v>4</v>
      </c>
      <c r="V36" s="107">
        <v>65857.83</v>
      </c>
      <c r="W36" s="32" t="s">
        <v>504</v>
      </c>
      <c r="X36" s="32" t="s">
        <v>802</v>
      </c>
      <c r="Y36" s="43" t="s">
        <v>821</v>
      </c>
      <c r="Z36" s="67" t="s">
        <v>822</v>
      </c>
      <c r="AA36" s="32" t="s">
        <v>33</v>
      </c>
      <c r="AB36" s="32" t="s">
        <v>36</v>
      </c>
      <c r="AC36" s="32" t="s">
        <v>40</v>
      </c>
      <c r="AD36" s="32" t="s">
        <v>65</v>
      </c>
      <c r="AE36" s="45">
        <v>66000</v>
      </c>
      <c r="AF36" s="31" t="s">
        <v>34</v>
      </c>
      <c r="AG36" s="30" t="s">
        <v>4</v>
      </c>
      <c r="AH36" s="32" t="s">
        <v>855</v>
      </c>
      <c r="AI36" s="32" t="s">
        <v>865</v>
      </c>
      <c r="AJ36" s="32" t="s">
        <v>842</v>
      </c>
      <c r="AK36" s="44" t="s">
        <v>803</v>
      </c>
      <c r="AL36" s="32" t="s">
        <v>804</v>
      </c>
      <c r="AM36" s="32" t="s">
        <v>823</v>
      </c>
      <c r="AN36" s="32"/>
      <c r="AO36" s="32" t="s">
        <v>861</v>
      </c>
      <c r="AP36" s="32"/>
      <c r="AQ36" s="32" t="s">
        <v>862</v>
      </c>
      <c r="AR36" s="32"/>
      <c r="AS36" s="32"/>
      <c r="AT36" s="32"/>
      <c r="AU36" s="32"/>
      <c r="AV36" s="32"/>
      <c r="AW36" s="32"/>
      <c r="AX36" s="32"/>
      <c r="AY36" s="32"/>
      <c r="AZ36" s="32"/>
      <c r="BA36" s="32"/>
    </row>
    <row r="37" spans="1:53" s="68" customFormat="1" ht="18.75" customHeight="1" x14ac:dyDescent="0.2">
      <c r="A37" s="30">
        <v>33</v>
      </c>
      <c r="B37" s="32" t="s">
        <v>421</v>
      </c>
      <c r="C37" s="32" t="str">
        <f t="shared" si="1"/>
        <v>293417019613367</v>
      </c>
      <c r="D37" s="30">
        <v>2934170</v>
      </c>
      <c r="E37" s="98">
        <v>19613367</v>
      </c>
      <c r="F37" s="99" t="s">
        <v>769</v>
      </c>
      <c r="G37" s="31">
        <v>45980313</v>
      </c>
      <c r="H37" s="32" t="s">
        <v>44</v>
      </c>
      <c r="I37" s="32"/>
      <c r="J37" s="32" t="s">
        <v>5</v>
      </c>
      <c r="K37" s="32" t="s">
        <v>71</v>
      </c>
      <c r="L37" s="32" t="s">
        <v>3</v>
      </c>
      <c r="M37" s="32" t="s">
        <v>63</v>
      </c>
      <c r="N37" s="39">
        <v>30029.39</v>
      </c>
      <c r="O37" s="39">
        <v>34436.03</v>
      </c>
      <c r="P37" s="32" t="s">
        <v>126</v>
      </c>
      <c r="Q37" s="32" t="s">
        <v>111</v>
      </c>
      <c r="R37" s="32" t="s">
        <v>64</v>
      </c>
      <c r="S37" s="32" t="s">
        <v>40</v>
      </c>
      <c r="T37" s="32" t="s">
        <v>863</v>
      </c>
      <c r="U37" s="32" t="s">
        <v>4</v>
      </c>
      <c r="V37" s="107">
        <v>65857.83</v>
      </c>
      <c r="W37" s="32" t="s">
        <v>504</v>
      </c>
      <c r="X37" s="32" t="s">
        <v>802</v>
      </c>
      <c r="Y37" s="32"/>
      <c r="Z37" s="67" t="s">
        <v>822</v>
      </c>
      <c r="AA37" s="32" t="s">
        <v>33</v>
      </c>
      <c r="AB37" s="32" t="s">
        <v>36</v>
      </c>
      <c r="AC37" s="32" t="s">
        <v>40</v>
      </c>
      <c r="AD37" s="32" t="s">
        <v>65</v>
      </c>
      <c r="AE37" s="45">
        <v>66000</v>
      </c>
      <c r="AF37" s="31" t="s">
        <v>34</v>
      </c>
      <c r="AG37" s="30" t="s">
        <v>4</v>
      </c>
      <c r="AH37" s="32" t="s">
        <v>855</v>
      </c>
      <c r="AI37" s="32" t="s">
        <v>865</v>
      </c>
      <c r="AJ37" s="32" t="s">
        <v>842</v>
      </c>
      <c r="AK37" s="44" t="s">
        <v>803</v>
      </c>
      <c r="AL37" s="32"/>
      <c r="AM37" s="32"/>
      <c r="AN37" s="32"/>
      <c r="AO37" s="32" t="s">
        <v>861</v>
      </c>
      <c r="AP37" s="32"/>
      <c r="AQ37" s="32" t="s">
        <v>862</v>
      </c>
      <c r="AR37" s="32"/>
      <c r="AS37" s="32"/>
      <c r="AT37" s="32"/>
      <c r="AU37" s="32"/>
      <c r="AV37" s="32"/>
      <c r="AW37" s="32"/>
      <c r="AX37" s="32"/>
      <c r="AY37" s="32"/>
      <c r="AZ37" s="32"/>
      <c r="BA37" s="32"/>
    </row>
    <row r="38" spans="1:53" s="68" customFormat="1" ht="22.5" customHeight="1" x14ac:dyDescent="0.2">
      <c r="A38" s="30">
        <v>34</v>
      </c>
      <c r="B38" s="32" t="s">
        <v>301</v>
      </c>
      <c r="C38" s="32" t="str">
        <f t="shared" si="1"/>
        <v>146309313189593</v>
      </c>
      <c r="D38" s="30">
        <v>1463093</v>
      </c>
      <c r="E38" s="30">
        <v>13189593</v>
      </c>
      <c r="F38" s="42" t="s">
        <v>284</v>
      </c>
      <c r="G38" s="32" t="s">
        <v>286</v>
      </c>
      <c r="H38" s="32" t="s">
        <v>44</v>
      </c>
      <c r="I38" s="66"/>
      <c r="J38" s="32" t="s">
        <v>37</v>
      </c>
      <c r="K38" s="32" t="s">
        <v>62</v>
      </c>
      <c r="L38" s="32" t="s">
        <v>3</v>
      </c>
      <c r="M38" s="32" t="s">
        <v>63</v>
      </c>
      <c r="N38" s="39">
        <v>21680.54</v>
      </c>
      <c r="O38" s="39">
        <v>26044.76</v>
      </c>
      <c r="P38" s="32" t="s">
        <v>126</v>
      </c>
      <c r="Q38" s="32" t="s">
        <v>41</v>
      </c>
      <c r="R38" s="32" t="s">
        <v>64</v>
      </c>
      <c r="S38" s="32" t="s">
        <v>36</v>
      </c>
      <c r="T38" s="32" t="s">
        <v>287</v>
      </c>
      <c r="U38" s="32" t="s">
        <v>4</v>
      </c>
      <c r="V38" s="81">
        <v>26115.279999999999</v>
      </c>
      <c r="W38" s="32" t="s">
        <v>256</v>
      </c>
      <c r="X38" s="32" t="s">
        <v>288</v>
      </c>
      <c r="Y38" s="32" t="s">
        <v>289</v>
      </c>
      <c r="Z38" s="67">
        <v>11014969</v>
      </c>
      <c r="AA38" s="32" t="s">
        <v>33</v>
      </c>
      <c r="AB38" s="32" t="s">
        <v>36</v>
      </c>
      <c r="AC38" s="32" t="s">
        <v>40</v>
      </c>
      <c r="AD38" s="32" t="s">
        <v>65</v>
      </c>
      <c r="AE38" s="45">
        <v>27000</v>
      </c>
      <c r="AF38" s="31" t="s">
        <v>34</v>
      </c>
      <c r="AG38" s="30" t="s">
        <v>4</v>
      </c>
      <c r="AH38" s="87">
        <v>45705</v>
      </c>
      <c r="AI38" s="87"/>
      <c r="AJ38" s="87"/>
      <c r="AK38" s="32" t="s">
        <v>282</v>
      </c>
      <c r="AL38" s="32"/>
      <c r="AM38" s="32" t="s">
        <v>307</v>
      </c>
      <c r="AN38" s="121" t="s">
        <v>290</v>
      </c>
      <c r="AO38" s="32" t="s">
        <v>364</v>
      </c>
      <c r="AP38" s="32"/>
      <c r="AQ38" s="32" t="s">
        <v>389</v>
      </c>
      <c r="AR38" s="32"/>
      <c r="AS38" s="32" t="s">
        <v>428</v>
      </c>
      <c r="AT38" s="32" t="s">
        <v>467</v>
      </c>
      <c r="AU38" s="32"/>
      <c r="AV38" s="32"/>
      <c r="AW38" s="32"/>
      <c r="AX38" s="32"/>
      <c r="AY38" s="32"/>
      <c r="AZ38" s="32" t="s">
        <v>553</v>
      </c>
      <c r="BA38" s="32" t="s">
        <v>559</v>
      </c>
    </row>
    <row r="39" spans="1:53" s="68" customFormat="1" ht="18" customHeight="1" x14ac:dyDescent="0.2">
      <c r="A39" s="30">
        <v>35</v>
      </c>
      <c r="B39" s="32" t="s">
        <v>301</v>
      </c>
      <c r="C39" s="32" t="str">
        <f t="shared" si="1"/>
        <v>336047214669476</v>
      </c>
      <c r="D39" s="30">
        <v>3360472</v>
      </c>
      <c r="E39" s="30">
        <v>14669476</v>
      </c>
      <c r="F39" s="32" t="s">
        <v>316</v>
      </c>
      <c r="G39" s="82" t="s">
        <v>317</v>
      </c>
      <c r="H39" s="32" t="s">
        <v>44</v>
      </c>
      <c r="I39" s="66" t="s">
        <v>400</v>
      </c>
      <c r="J39" s="32" t="s">
        <v>5</v>
      </c>
      <c r="K39" s="32" t="s">
        <v>71</v>
      </c>
      <c r="L39" s="32" t="s">
        <v>3</v>
      </c>
      <c r="M39" s="32" t="s">
        <v>63</v>
      </c>
      <c r="N39" s="39">
        <v>45502.03</v>
      </c>
      <c r="O39" s="39">
        <v>52374.11</v>
      </c>
      <c r="P39" s="32" t="s">
        <v>126</v>
      </c>
      <c r="Q39" s="32" t="s">
        <v>41</v>
      </c>
      <c r="R39" s="32" t="s">
        <v>64</v>
      </c>
      <c r="S39" s="32"/>
      <c r="T39" s="32" t="s">
        <v>335</v>
      </c>
      <c r="U39" s="32" t="s">
        <v>4</v>
      </c>
      <c r="V39" s="45">
        <v>52126.27</v>
      </c>
      <c r="W39" s="32" t="s">
        <v>329</v>
      </c>
      <c r="X39" s="32" t="s">
        <v>336</v>
      </c>
      <c r="Y39" s="43" t="s">
        <v>318</v>
      </c>
      <c r="Z39" s="69">
        <v>11073251</v>
      </c>
      <c r="AA39" s="32" t="s">
        <v>33</v>
      </c>
      <c r="AB39" s="32" t="s">
        <v>35</v>
      </c>
      <c r="AC39" s="43" t="s">
        <v>319</v>
      </c>
      <c r="AD39" s="32" t="s">
        <v>65</v>
      </c>
      <c r="AE39" s="45">
        <v>53000</v>
      </c>
      <c r="AF39" s="31" t="s">
        <v>34</v>
      </c>
      <c r="AG39" s="30" t="s">
        <v>402</v>
      </c>
      <c r="AH39" s="74">
        <v>45735</v>
      </c>
      <c r="AI39" s="74"/>
      <c r="AJ39" s="74"/>
      <c r="AK39" s="32" t="s">
        <v>315</v>
      </c>
      <c r="AL39" s="32" t="s">
        <v>310</v>
      </c>
      <c r="AM39" s="32" t="s">
        <v>331</v>
      </c>
      <c r="AN39" s="32"/>
      <c r="AO39" s="32"/>
      <c r="AP39" s="32"/>
      <c r="AQ39" s="32" t="s">
        <v>382</v>
      </c>
      <c r="AR39" s="32"/>
      <c r="AS39" s="32"/>
      <c r="AT39" s="32"/>
      <c r="AU39" s="32"/>
      <c r="AV39" s="32"/>
      <c r="AW39" s="32"/>
      <c r="AX39" s="32"/>
      <c r="AY39" s="32"/>
      <c r="AZ39" s="32" t="s">
        <v>687</v>
      </c>
      <c r="BA39" s="32" t="s">
        <v>688</v>
      </c>
    </row>
    <row r="40" spans="1:53" s="68" customFormat="1" ht="12.75" customHeight="1" x14ac:dyDescent="0.2">
      <c r="A40" s="30">
        <v>36</v>
      </c>
      <c r="B40" s="32" t="s">
        <v>421</v>
      </c>
      <c r="C40" s="32" t="str">
        <f t="shared" si="1"/>
        <v>441514221275599</v>
      </c>
      <c r="D40" s="30">
        <v>4415142</v>
      </c>
      <c r="E40" s="30">
        <v>21275599</v>
      </c>
      <c r="F40" s="97" t="s">
        <v>887</v>
      </c>
      <c r="G40" s="31">
        <v>45157188</v>
      </c>
      <c r="H40" s="31" t="s">
        <v>44</v>
      </c>
      <c r="I40" s="32"/>
      <c r="J40" s="32" t="s">
        <v>5</v>
      </c>
      <c r="K40" s="32" t="s">
        <v>71</v>
      </c>
      <c r="L40" s="32" t="s">
        <v>3</v>
      </c>
      <c r="M40" s="32" t="s">
        <v>63</v>
      </c>
      <c r="N40" s="32"/>
      <c r="O40" s="32"/>
      <c r="P40" s="32" t="s">
        <v>126</v>
      </c>
      <c r="Q40" s="32" t="s">
        <v>351</v>
      </c>
      <c r="R40" s="32" t="s">
        <v>64</v>
      </c>
      <c r="S40" s="32" t="s">
        <v>40</v>
      </c>
      <c r="T40" s="32" t="s">
        <v>888</v>
      </c>
      <c r="U40" s="32" t="s">
        <v>44</v>
      </c>
      <c r="W40" s="32" t="s">
        <v>72</v>
      </c>
      <c r="X40" s="32" t="s">
        <v>890</v>
      </c>
      <c r="Y40" s="32"/>
      <c r="Z40" s="67"/>
      <c r="AA40" s="32"/>
      <c r="AB40" s="32"/>
      <c r="AC40" s="32"/>
      <c r="AD40" s="32"/>
      <c r="AE40" s="32"/>
      <c r="AF40" s="31"/>
      <c r="AG40" s="30"/>
      <c r="AH40" s="32"/>
      <c r="AI40" s="32"/>
      <c r="AJ40" s="32"/>
      <c r="AK40" s="32"/>
      <c r="AL40" s="32"/>
      <c r="AM40" s="32"/>
      <c r="AN40" s="32"/>
      <c r="AO40" s="32"/>
      <c r="AP40" s="32"/>
      <c r="AQ40" s="32"/>
      <c r="AR40" s="32"/>
      <c r="AS40" s="32"/>
      <c r="AT40" s="32"/>
      <c r="AU40" s="32"/>
      <c r="AV40" s="32"/>
      <c r="AW40" s="32"/>
      <c r="AX40" s="32"/>
      <c r="AY40" s="32"/>
      <c r="AZ40" s="32"/>
      <c r="BA40" s="32"/>
    </row>
    <row r="41" spans="1:53" s="68" customFormat="1" ht="13.5" customHeight="1" x14ac:dyDescent="0.2">
      <c r="A41" s="30">
        <v>37</v>
      </c>
      <c r="B41" s="32" t="s">
        <v>301</v>
      </c>
      <c r="C41" s="32" t="str">
        <f t="shared" si="1"/>
        <v>284839711395151</v>
      </c>
      <c r="D41" s="30">
        <v>2848397</v>
      </c>
      <c r="E41" s="30">
        <v>11395151</v>
      </c>
      <c r="F41" s="31" t="s">
        <v>155</v>
      </c>
      <c r="G41" s="31" t="s">
        <v>156</v>
      </c>
      <c r="H41" s="32" t="s">
        <v>44</v>
      </c>
      <c r="I41" s="32"/>
      <c r="J41" s="32" t="s">
        <v>5</v>
      </c>
      <c r="K41" s="32" t="s">
        <v>62</v>
      </c>
      <c r="L41" s="32" t="s">
        <v>3</v>
      </c>
      <c r="M41" s="32" t="s">
        <v>63</v>
      </c>
      <c r="N41" s="39">
        <v>8953.7099999999991</v>
      </c>
      <c r="O41" s="39">
        <v>10305.049999999999</v>
      </c>
      <c r="P41" s="32" t="s">
        <v>126</v>
      </c>
      <c r="Q41" s="32" t="s">
        <v>32</v>
      </c>
      <c r="R41" s="32" t="s">
        <v>64</v>
      </c>
      <c r="S41" s="32" t="s">
        <v>36</v>
      </c>
      <c r="T41" s="32" t="s">
        <v>161</v>
      </c>
      <c r="U41" s="31" t="s">
        <v>4</v>
      </c>
      <c r="V41" s="81">
        <v>72225.039999999994</v>
      </c>
      <c r="W41" s="32" t="s">
        <v>141</v>
      </c>
      <c r="X41" s="32" t="s">
        <v>158</v>
      </c>
      <c r="Y41" s="32" t="s">
        <v>162</v>
      </c>
      <c r="Z41" s="69">
        <v>11074350</v>
      </c>
      <c r="AA41" s="32" t="s">
        <v>33</v>
      </c>
      <c r="AB41" s="32" t="s">
        <v>36</v>
      </c>
      <c r="AC41" s="32" t="s">
        <v>40</v>
      </c>
      <c r="AD41" s="43" t="s">
        <v>65</v>
      </c>
      <c r="AE41" s="45">
        <v>73000</v>
      </c>
      <c r="AF41" s="31" t="s">
        <v>34</v>
      </c>
      <c r="AG41" s="30" t="s">
        <v>4</v>
      </c>
      <c r="AH41" s="32" t="s">
        <v>171</v>
      </c>
      <c r="AI41" s="32"/>
      <c r="AJ41" s="32"/>
      <c r="AK41" s="44" t="s">
        <v>157</v>
      </c>
      <c r="AL41" s="32"/>
      <c r="AM41" s="32" t="s">
        <v>164</v>
      </c>
      <c r="AN41" s="32"/>
      <c r="AO41" s="32" t="s">
        <v>172</v>
      </c>
      <c r="AP41" s="32"/>
      <c r="AQ41" s="32" t="s">
        <v>190</v>
      </c>
      <c r="AR41" s="32"/>
      <c r="AS41" s="32" t="s">
        <v>212</v>
      </c>
      <c r="AT41" s="32" t="s">
        <v>273</v>
      </c>
      <c r="AU41" s="32" t="s">
        <v>671</v>
      </c>
      <c r="AV41" s="32" t="s">
        <v>839</v>
      </c>
      <c r="AW41" s="32"/>
      <c r="AX41" s="32"/>
      <c r="AY41" s="32"/>
      <c r="AZ41" s="32" t="s">
        <v>857</v>
      </c>
      <c r="BA41" s="32" t="s">
        <v>858</v>
      </c>
    </row>
    <row r="42" spans="1:53" s="68" customFormat="1" ht="12" x14ac:dyDescent="0.2">
      <c r="A42" s="30">
        <v>38</v>
      </c>
      <c r="B42" s="32" t="s">
        <v>301</v>
      </c>
      <c r="C42" s="32" t="str">
        <f t="shared" si="1"/>
        <v>284839712480813</v>
      </c>
      <c r="D42" s="30">
        <v>2848397</v>
      </c>
      <c r="E42" s="30">
        <v>12480813</v>
      </c>
      <c r="F42" s="31" t="s">
        <v>155</v>
      </c>
      <c r="G42" s="31" t="s">
        <v>156</v>
      </c>
      <c r="H42" s="32" t="s">
        <v>44</v>
      </c>
      <c r="I42" s="32"/>
      <c r="J42" s="32" t="s">
        <v>5</v>
      </c>
      <c r="K42" s="32" t="s">
        <v>62</v>
      </c>
      <c r="L42" s="32" t="s">
        <v>3</v>
      </c>
      <c r="M42" s="32" t="s">
        <v>63</v>
      </c>
      <c r="N42" s="39">
        <v>20128.96</v>
      </c>
      <c r="O42" s="39">
        <v>23793.07</v>
      </c>
      <c r="P42" s="32" t="s">
        <v>126</v>
      </c>
      <c r="Q42" s="32" t="s">
        <v>32</v>
      </c>
      <c r="R42" s="32" t="s">
        <v>64</v>
      </c>
      <c r="S42" s="32" t="s">
        <v>36</v>
      </c>
      <c r="T42" s="32" t="s">
        <v>161</v>
      </c>
      <c r="U42" s="31" t="s">
        <v>4</v>
      </c>
      <c r="V42" s="81">
        <v>72225.039999999994</v>
      </c>
      <c r="W42" s="32" t="s">
        <v>141</v>
      </c>
      <c r="X42" s="32" t="s">
        <v>159</v>
      </c>
      <c r="Y42" s="32" t="s">
        <v>162</v>
      </c>
      <c r="Z42" s="69" t="s">
        <v>163</v>
      </c>
      <c r="AA42" s="32" t="s">
        <v>33</v>
      </c>
      <c r="AB42" s="32" t="s">
        <v>36</v>
      </c>
      <c r="AC42" s="32" t="s">
        <v>40</v>
      </c>
      <c r="AD42" s="43" t="s">
        <v>65</v>
      </c>
      <c r="AE42" s="45">
        <v>73000</v>
      </c>
      <c r="AF42" s="31" t="s">
        <v>34</v>
      </c>
      <c r="AG42" s="30" t="s">
        <v>4</v>
      </c>
      <c r="AH42" s="32" t="s">
        <v>171</v>
      </c>
      <c r="AI42" s="32"/>
      <c r="AJ42" s="32"/>
      <c r="AK42" s="44" t="s">
        <v>157</v>
      </c>
      <c r="AL42" s="32"/>
      <c r="AM42" s="32" t="s">
        <v>164</v>
      </c>
      <c r="AN42" s="32"/>
      <c r="AO42" s="32" t="s">
        <v>172</v>
      </c>
      <c r="AP42" s="32"/>
      <c r="AQ42" s="32" t="s">
        <v>190</v>
      </c>
      <c r="AR42" s="32"/>
      <c r="AS42" s="32" t="s">
        <v>212</v>
      </c>
      <c r="AT42" s="32" t="s">
        <v>273</v>
      </c>
      <c r="AU42" s="32" t="s">
        <v>308</v>
      </c>
      <c r="AV42" s="32" t="s">
        <v>839</v>
      </c>
      <c r="AW42" s="32"/>
      <c r="AX42" s="32"/>
      <c r="AY42" s="32"/>
      <c r="AZ42" s="32" t="s">
        <v>857</v>
      </c>
      <c r="BA42" s="32"/>
    </row>
    <row r="43" spans="1:53" s="68" customFormat="1" ht="15" customHeight="1" x14ac:dyDescent="0.2">
      <c r="A43" s="30">
        <v>39</v>
      </c>
      <c r="B43" s="32" t="s">
        <v>301</v>
      </c>
      <c r="C43" s="32" t="str">
        <f t="shared" si="1"/>
        <v>284839712864439</v>
      </c>
      <c r="D43" s="30">
        <v>2848397</v>
      </c>
      <c r="E43" s="30">
        <v>12864439</v>
      </c>
      <c r="F43" s="31" t="s">
        <v>155</v>
      </c>
      <c r="G43" s="31" t="s">
        <v>156</v>
      </c>
      <c r="H43" s="32" t="s">
        <v>44</v>
      </c>
      <c r="I43" s="32"/>
      <c r="J43" s="32" t="s">
        <v>5</v>
      </c>
      <c r="K43" s="32" t="s">
        <v>62</v>
      </c>
      <c r="L43" s="32" t="s">
        <v>3</v>
      </c>
      <c r="M43" s="32" t="s">
        <v>63</v>
      </c>
      <c r="N43" s="39">
        <v>31530.13</v>
      </c>
      <c r="O43" s="39">
        <v>36262.47</v>
      </c>
      <c r="P43" s="32" t="s">
        <v>126</v>
      </c>
      <c r="Q43" s="32" t="s">
        <v>32</v>
      </c>
      <c r="R43" s="32" t="s">
        <v>64</v>
      </c>
      <c r="S43" s="32" t="s">
        <v>36</v>
      </c>
      <c r="T43" s="32" t="s">
        <v>161</v>
      </c>
      <c r="U43" s="31" t="s">
        <v>4</v>
      </c>
      <c r="V43" s="45">
        <v>72225.039999999994</v>
      </c>
      <c r="W43" s="32" t="s">
        <v>141</v>
      </c>
      <c r="X43" s="32" t="s">
        <v>160</v>
      </c>
      <c r="Y43" s="32" t="s">
        <v>162</v>
      </c>
      <c r="Z43" s="69" t="s">
        <v>163</v>
      </c>
      <c r="AA43" s="32" t="s">
        <v>33</v>
      </c>
      <c r="AB43" s="32" t="s">
        <v>36</v>
      </c>
      <c r="AC43" s="32" t="s">
        <v>40</v>
      </c>
      <c r="AD43" s="43" t="s">
        <v>65</v>
      </c>
      <c r="AE43" s="45">
        <v>73000</v>
      </c>
      <c r="AF43" s="31" t="s">
        <v>34</v>
      </c>
      <c r="AG43" s="30" t="s">
        <v>4</v>
      </c>
      <c r="AH43" s="32" t="s">
        <v>171</v>
      </c>
      <c r="AI43" s="32"/>
      <c r="AJ43" s="32"/>
      <c r="AK43" s="44" t="s">
        <v>157</v>
      </c>
      <c r="AL43" s="32"/>
      <c r="AM43" s="32" t="s">
        <v>164</v>
      </c>
      <c r="AN43" s="32"/>
      <c r="AO43" s="32" t="s">
        <v>172</v>
      </c>
      <c r="AP43" s="32"/>
      <c r="AQ43" s="32" t="s">
        <v>190</v>
      </c>
      <c r="AR43" s="32"/>
      <c r="AS43" s="32" t="s">
        <v>212</v>
      </c>
      <c r="AT43" s="32" t="s">
        <v>273</v>
      </c>
      <c r="AU43" s="32" t="s">
        <v>308</v>
      </c>
      <c r="AV43" s="32" t="s">
        <v>839</v>
      </c>
      <c r="AW43" s="32"/>
      <c r="AX43" s="32"/>
      <c r="AY43" s="32"/>
      <c r="AZ43" s="32" t="s">
        <v>857</v>
      </c>
      <c r="BA43" s="32"/>
    </row>
    <row r="44" spans="1:53" s="68" customFormat="1" ht="15" customHeight="1" x14ac:dyDescent="0.2">
      <c r="A44" s="30">
        <v>40</v>
      </c>
      <c r="B44" s="31" t="s">
        <v>301</v>
      </c>
      <c r="C44" s="32" t="str">
        <f t="shared" si="1"/>
        <v>3314456916990842</v>
      </c>
      <c r="D44" s="30">
        <v>33144569</v>
      </c>
      <c r="E44" s="30">
        <v>16990842</v>
      </c>
      <c r="F44" s="31" t="s">
        <v>475</v>
      </c>
      <c r="G44" s="31">
        <v>23568500</v>
      </c>
      <c r="H44" s="32" t="s">
        <v>44</v>
      </c>
      <c r="I44" s="32"/>
      <c r="J44" s="32" t="s">
        <v>37</v>
      </c>
      <c r="K44" s="32" t="s">
        <v>62</v>
      </c>
      <c r="L44" s="32" t="s">
        <v>3</v>
      </c>
      <c r="M44" s="32" t="s">
        <v>63</v>
      </c>
      <c r="N44" s="39">
        <v>2652.11</v>
      </c>
      <c r="O44" s="39">
        <v>3726.33</v>
      </c>
      <c r="P44" s="32" t="s">
        <v>126</v>
      </c>
      <c r="Q44" s="32" t="s">
        <v>351</v>
      </c>
      <c r="R44" s="32" t="s">
        <v>64</v>
      </c>
      <c r="S44" s="32" t="s">
        <v>40</v>
      </c>
      <c r="T44" s="68" t="s">
        <v>795</v>
      </c>
      <c r="U44" s="68" t="s">
        <v>4</v>
      </c>
      <c r="V44" s="81">
        <v>29548.080000000002</v>
      </c>
      <c r="W44" s="116" t="s">
        <v>112</v>
      </c>
      <c r="X44" s="68" t="s">
        <v>491</v>
      </c>
      <c r="Y44" s="68" t="s">
        <v>930</v>
      </c>
      <c r="Z44" s="67" t="s">
        <v>492</v>
      </c>
      <c r="AA44" s="32" t="s">
        <v>33</v>
      </c>
      <c r="AB44" s="32" t="s">
        <v>493</v>
      </c>
      <c r="AC44" s="32" t="s">
        <v>494</v>
      </c>
      <c r="AD44" s="32" t="s">
        <v>65</v>
      </c>
      <c r="AE44" s="45">
        <v>30000</v>
      </c>
      <c r="AF44" s="31" t="s">
        <v>34</v>
      </c>
      <c r="AG44" s="30" t="s">
        <v>44</v>
      </c>
      <c r="AH44" s="32"/>
      <c r="AI44" s="32"/>
      <c r="AJ44" s="32"/>
      <c r="AK44" s="44" t="s">
        <v>495</v>
      </c>
      <c r="AL44" s="32"/>
      <c r="AM44" s="32" t="s">
        <v>496</v>
      </c>
      <c r="AN44" s="32"/>
      <c r="AO44" s="32" t="s">
        <v>602</v>
      </c>
      <c r="AP44" s="32"/>
      <c r="AQ44" s="32" t="s">
        <v>622</v>
      </c>
      <c r="AR44" s="32"/>
      <c r="AS44" s="32" t="s">
        <v>673</v>
      </c>
      <c r="AT44" s="32"/>
      <c r="AU44" s="32"/>
      <c r="AV44" s="32"/>
      <c r="AW44" s="32"/>
      <c r="AX44" s="32"/>
      <c r="AY44" s="32"/>
      <c r="AZ44" s="32"/>
      <c r="BA44" s="32" t="s">
        <v>424</v>
      </c>
    </row>
    <row r="45" spans="1:53" s="68" customFormat="1" ht="13.5" customHeight="1" x14ac:dyDescent="0.2">
      <c r="A45" s="30">
        <v>41</v>
      </c>
      <c r="B45" s="32" t="s">
        <v>421</v>
      </c>
      <c r="C45" s="32" t="str">
        <f t="shared" si="1"/>
        <v>293489614558946</v>
      </c>
      <c r="D45" s="30">
        <v>2934896</v>
      </c>
      <c r="E45" s="30">
        <v>14558946</v>
      </c>
      <c r="F45" s="31" t="s">
        <v>773</v>
      </c>
      <c r="G45" s="31">
        <v>45137578</v>
      </c>
      <c r="H45" s="31" t="s">
        <v>44</v>
      </c>
      <c r="I45" s="32"/>
      <c r="J45" s="32" t="s">
        <v>5</v>
      </c>
      <c r="K45" s="32" t="s">
        <v>62</v>
      </c>
      <c r="L45" s="32" t="s">
        <v>3</v>
      </c>
      <c r="M45" s="32" t="s">
        <v>63</v>
      </c>
      <c r="N45" s="32"/>
      <c r="O45" s="32"/>
      <c r="P45" s="32" t="s">
        <v>126</v>
      </c>
      <c r="Q45" s="32" t="s">
        <v>41</v>
      </c>
      <c r="R45" s="32" t="s">
        <v>64</v>
      </c>
      <c r="S45" s="32"/>
      <c r="T45" s="32" t="s">
        <v>908</v>
      </c>
      <c r="U45" s="32" t="s">
        <v>4</v>
      </c>
      <c r="V45" s="68">
        <v>32867.629999999997</v>
      </c>
      <c r="W45" s="32" t="s">
        <v>824</v>
      </c>
      <c r="X45" s="32" t="s">
        <v>827</v>
      </c>
      <c r="Y45" s="32" t="s">
        <v>941</v>
      </c>
      <c r="Z45" s="53" t="s">
        <v>780</v>
      </c>
      <c r="AA45" s="53" t="s">
        <v>33</v>
      </c>
      <c r="AB45" s="32" t="s">
        <v>781</v>
      </c>
      <c r="AC45" s="53" t="s">
        <v>782</v>
      </c>
      <c r="AD45" s="53" t="s">
        <v>783</v>
      </c>
      <c r="AE45" s="45">
        <v>33000</v>
      </c>
      <c r="AF45" s="53" t="s">
        <v>34</v>
      </c>
      <c r="AG45" s="30" t="s">
        <v>4</v>
      </c>
      <c r="AH45" s="32" t="s">
        <v>909</v>
      </c>
      <c r="AI45" s="32" t="s">
        <v>865</v>
      </c>
      <c r="AJ45" s="32" t="s">
        <v>910</v>
      </c>
      <c r="AK45" s="32" t="s">
        <v>866</v>
      </c>
      <c r="AL45" s="32"/>
      <c r="AM45" s="32" t="s">
        <v>826</v>
      </c>
      <c r="AN45" s="32"/>
      <c r="AO45" s="32" t="s">
        <v>911</v>
      </c>
      <c r="AP45" s="32"/>
      <c r="AQ45" s="32" t="s">
        <v>947</v>
      </c>
      <c r="AR45" s="32"/>
      <c r="AS45" s="32"/>
      <c r="AT45" s="32"/>
      <c r="AU45" s="32"/>
      <c r="AV45" s="32"/>
      <c r="AW45" s="32"/>
      <c r="AX45" s="32"/>
      <c r="AY45" s="32"/>
      <c r="AZ45" s="32"/>
      <c r="BA45" s="32"/>
    </row>
    <row r="46" spans="1:53" s="105" customFormat="1" ht="12" customHeight="1" x14ac:dyDescent="0.2">
      <c r="A46" s="30">
        <v>42</v>
      </c>
      <c r="B46" s="31" t="s">
        <v>301</v>
      </c>
      <c r="C46" s="32" t="str">
        <f t="shared" si="1"/>
        <v>243883616952017</v>
      </c>
      <c r="D46" s="30">
        <v>2438836</v>
      </c>
      <c r="E46" s="30">
        <v>16952017</v>
      </c>
      <c r="F46" s="31" t="s">
        <v>472</v>
      </c>
      <c r="G46" s="31" t="s">
        <v>498</v>
      </c>
      <c r="H46" s="32" t="s">
        <v>44</v>
      </c>
      <c r="I46" s="32"/>
      <c r="J46" s="32" t="s">
        <v>5</v>
      </c>
      <c r="K46" s="32" t="s">
        <v>71</v>
      </c>
      <c r="L46" s="32" t="s">
        <v>3</v>
      </c>
      <c r="M46" s="32" t="s">
        <v>63</v>
      </c>
      <c r="N46" s="39">
        <v>7061.07</v>
      </c>
      <c r="O46" s="39">
        <v>9874.7900000000009</v>
      </c>
      <c r="P46" s="32" t="s">
        <v>126</v>
      </c>
      <c r="Q46" s="32" t="s">
        <v>502</v>
      </c>
      <c r="R46" s="32" t="s">
        <v>64</v>
      </c>
      <c r="S46" s="32" t="s">
        <v>40</v>
      </c>
      <c r="T46" s="32" t="s">
        <v>745</v>
      </c>
      <c r="U46" s="32" t="s">
        <v>4</v>
      </c>
      <c r="V46" s="45">
        <v>77218.33</v>
      </c>
      <c r="W46" s="31" t="s">
        <v>504</v>
      </c>
      <c r="X46" s="32" t="s">
        <v>503</v>
      </c>
      <c r="Y46" s="32" t="s">
        <v>505</v>
      </c>
      <c r="Z46" s="67" t="s">
        <v>507</v>
      </c>
      <c r="AA46" s="32" t="s">
        <v>33</v>
      </c>
      <c r="AB46" s="32" t="s">
        <v>36</v>
      </c>
      <c r="AC46" s="32" t="s">
        <v>40</v>
      </c>
      <c r="AD46" s="32" t="s">
        <v>730</v>
      </c>
      <c r="AE46" s="45">
        <v>78000</v>
      </c>
      <c r="AF46" s="31" t="s">
        <v>34</v>
      </c>
      <c r="AG46" s="30" t="s">
        <v>4</v>
      </c>
      <c r="AH46" s="32" t="s">
        <v>696</v>
      </c>
      <c r="AI46" s="32" t="s">
        <v>645</v>
      </c>
      <c r="AJ46" s="32" t="s">
        <v>762</v>
      </c>
      <c r="AK46" s="44" t="s">
        <v>495</v>
      </c>
      <c r="AL46" s="32"/>
      <c r="AM46" s="32" t="s">
        <v>508</v>
      </c>
      <c r="AN46" s="32"/>
      <c r="AO46" s="32" t="s">
        <v>679</v>
      </c>
      <c r="AP46" s="32"/>
      <c r="AQ46" s="32" t="s">
        <v>679</v>
      </c>
      <c r="AR46" s="32"/>
      <c r="AS46" s="32" t="s">
        <v>873</v>
      </c>
      <c r="AT46" s="32"/>
      <c r="AU46" s="32"/>
      <c r="AV46" s="32"/>
      <c r="AW46" s="32"/>
      <c r="AX46" s="32"/>
      <c r="AY46" s="32"/>
      <c r="AZ46" s="32" t="s">
        <v>873</v>
      </c>
      <c r="BA46" s="32" t="s">
        <v>379</v>
      </c>
    </row>
    <row r="47" spans="1:53" s="105" customFormat="1" ht="11.25" customHeight="1" x14ac:dyDescent="0.2">
      <c r="A47" s="30">
        <v>43</v>
      </c>
      <c r="B47" s="32" t="s">
        <v>301</v>
      </c>
      <c r="C47" s="32" t="str">
        <f t="shared" si="1"/>
        <v>335861512401654</v>
      </c>
      <c r="D47" s="30">
        <v>3358615</v>
      </c>
      <c r="E47" s="30">
        <v>12401654</v>
      </c>
      <c r="F47" s="31" t="s">
        <v>361</v>
      </c>
      <c r="G47" s="31">
        <v>21142253</v>
      </c>
      <c r="H47" s="32" t="s">
        <v>44</v>
      </c>
      <c r="I47" s="32" t="s">
        <v>851</v>
      </c>
      <c r="J47" s="32" t="s">
        <v>37</v>
      </c>
      <c r="K47" s="32" t="s">
        <v>62</v>
      </c>
      <c r="L47" s="32" t="s">
        <v>3</v>
      </c>
      <c r="M47" s="32" t="s">
        <v>63</v>
      </c>
      <c r="N47" s="39">
        <v>15751.9</v>
      </c>
      <c r="O47" s="39">
        <v>17749.57</v>
      </c>
      <c r="P47" s="32" t="s">
        <v>126</v>
      </c>
      <c r="Q47" s="32" t="s">
        <v>41</v>
      </c>
      <c r="R47" s="32" t="s">
        <v>64</v>
      </c>
      <c r="S47" s="32"/>
      <c r="T47" s="32" t="s">
        <v>363</v>
      </c>
      <c r="U47" s="32" t="s">
        <v>4</v>
      </c>
      <c r="V47" s="45"/>
      <c r="W47" s="32" t="s">
        <v>112</v>
      </c>
      <c r="X47" s="32" t="s">
        <v>362</v>
      </c>
      <c r="Y47" s="32" t="s">
        <v>310</v>
      </c>
      <c r="Z47" s="67">
        <v>11050756</v>
      </c>
      <c r="AA47" s="32" t="s">
        <v>33</v>
      </c>
      <c r="AB47" s="32" t="s">
        <v>40</v>
      </c>
      <c r="AC47" s="32" t="s">
        <v>40</v>
      </c>
      <c r="AD47" s="32" t="s">
        <v>40</v>
      </c>
      <c r="AE47" s="45">
        <v>18000</v>
      </c>
      <c r="AF47" s="31" t="s">
        <v>34</v>
      </c>
      <c r="AG47" s="30"/>
      <c r="AH47" s="32"/>
      <c r="AI47" s="32"/>
      <c r="AJ47" s="32"/>
      <c r="AK47" s="32" t="s">
        <v>344</v>
      </c>
      <c r="AL47" s="32" t="s">
        <v>714</v>
      </c>
      <c r="AM47" s="32"/>
      <c r="AN47" s="42" t="s">
        <v>715</v>
      </c>
      <c r="AO47" s="32"/>
      <c r="AP47" s="32"/>
      <c r="AQ47" s="32"/>
      <c r="AR47" s="32"/>
      <c r="AS47" s="32"/>
      <c r="AT47" s="32"/>
      <c r="AU47" s="32"/>
      <c r="AV47" s="32"/>
      <c r="AW47" s="32"/>
      <c r="AX47" s="32"/>
      <c r="AY47" s="32"/>
      <c r="AZ47" s="32"/>
      <c r="BA47" s="32"/>
    </row>
    <row r="48" spans="1:53" s="105" customFormat="1" ht="12.75" customHeight="1" x14ac:dyDescent="0.2">
      <c r="A48" s="30">
        <v>44</v>
      </c>
      <c r="B48" s="31" t="s">
        <v>301</v>
      </c>
      <c r="C48" s="32" t="str">
        <f t="shared" si="1"/>
        <v>302897910035829</v>
      </c>
      <c r="D48" s="30">
        <v>3028979</v>
      </c>
      <c r="E48" s="30">
        <v>10035829</v>
      </c>
      <c r="F48" s="31" t="s">
        <v>473</v>
      </c>
      <c r="G48" s="31" t="s">
        <v>499</v>
      </c>
      <c r="H48" s="32" t="s">
        <v>44</v>
      </c>
      <c r="I48" s="32"/>
      <c r="J48" s="32" t="s">
        <v>5</v>
      </c>
      <c r="K48" s="32" t="s">
        <v>71</v>
      </c>
      <c r="L48" s="32" t="s">
        <v>3</v>
      </c>
      <c r="M48" s="32" t="s">
        <v>63</v>
      </c>
      <c r="N48" s="39">
        <v>1210.46</v>
      </c>
      <c r="O48" s="39">
        <v>2592.25</v>
      </c>
      <c r="P48" s="32" t="s">
        <v>126</v>
      </c>
      <c r="Q48" s="32" t="s">
        <v>351</v>
      </c>
      <c r="R48" s="32" t="s">
        <v>64</v>
      </c>
      <c r="S48" s="32" t="s">
        <v>40</v>
      </c>
      <c r="T48" s="32" t="s">
        <v>581</v>
      </c>
      <c r="U48" s="32" t="s">
        <v>4</v>
      </c>
      <c r="V48" s="107">
        <v>37435.71</v>
      </c>
      <c r="W48" s="31" t="s">
        <v>72</v>
      </c>
      <c r="X48" s="32" t="s">
        <v>509</v>
      </c>
      <c r="Y48" s="32" t="s">
        <v>506</v>
      </c>
      <c r="Z48" s="67">
        <v>11085155</v>
      </c>
      <c r="AA48" s="32" t="s">
        <v>33</v>
      </c>
      <c r="AB48" s="32" t="s">
        <v>36</v>
      </c>
      <c r="AC48" s="32" t="s">
        <v>40</v>
      </c>
      <c r="AD48" s="32" t="s">
        <v>65</v>
      </c>
      <c r="AE48" s="45">
        <v>38000</v>
      </c>
      <c r="AF48" s="31" t="s">
        <v>34</v>
      </c>
      <c r="AG48" s="30" t="s">
        <v>4</v>
      </c>
      <c r="AH48" s="32" t="s">
        <v>546</v>
      </c>
      <c r="AI48" s="32"/>
      <c r="AJ48" s="32"/>
      <c r="AK48" s="44" t="s">
        <v>495</v>
      </c>
      <c r="AL48" s="32"/>
      <c r="AM48" s="32" t="s">
        <v>508</v>
      </c>
      <c r="AN48" s="32"/>
      <c r="AO48" s="32" t="s">
        <v>567</v>
      </c>
      <c r="AP48" s="32"/>
      <c r="AQ48" s="32" t="s">
        <v>580</v>
      </c>
      <c r="AR48" s="32"/>
      <c r="AS48" s="32" t="s">
        <v>604</v>
      </c>
      <c r="AT48" s="32"/>
      <c r="AU48" s="32"/>
      <c r="AV48" s="32"/>
      <c r="AW48" s="32"/>
      <c r="AX48" s="32"/>
      <c r="AY48" s="32"/>
      <c r="AZ48" s="32"/>
      <c r="BA48" s="32" t="s">
        <v>310</v>
      </c>
    </row>
    <row r="49" spans="1:53" s="105" customFormat="1" ht="12.75" customHeight="1" x14ac:dyDescent="0.2">
      <c r="A49" s="30">
        <v>45</v>
      </c>
      <c r="B49" s="31" t="s">
        <v>301</v>
      </c>
      <c r="C49" s="32" t="str">
        <f t="shared" si="1"/>
        <v>302897915838836</v>
      </c>
      <c r="D49" s="30">
        <v>3028979</v>
      </c>
      <c r="E49" s="30">
        <v>15838836</v>
      </c>
      <c r="F49" s="31" t="s">
        <v>473</v>
      </c>
      <c r="G49" s="31" t="s">
        <v>499</v>
      </c>
      <c r="H49" s="32" t="s">
        <v>44</v>
      </c>
      <c r="I49" s="32"/>
      <c r="J49" s="32" t="s">
        <v>5</v>
      </c>
      <c r="K49" s="32" t="s">
        <v>71</v>
      </c>
      <c r="L49" s="32" t="s">
        <v>3</v>
      </c>
      <c r="M49" s="32" t="s">
        <v>63</v>
      </c>
      <c r="N49" s="39">
        <v>1210.46</v>
      </c>
      <c r="O49" s="39">
        <v>2592.25</v>
      </c>
      <c r="P49" s="32" t="s">
        <v>126</v>
      </c>
      <c r="Q49" s="32" t="s">
        <v>351</v>
      </c>
      <c r="R49" s="32" t="s">
        <v>64</v>
      </c>
      <c r="S49" s="32" t="s">
        <v>40</v>
      </c>
      <c r="T49" s="32" t="s">
        <v>581</v>
      </c>
      <c r="U49" s="32" t="s">
        <v>4</v>
      </c>
      <c r="V49" s="107">
        <v>37435.71</v>
      </c>
      <c r="W49" s="31" t="s">
        <v>72</v>
      </c>
      <c r="X49" s="32" t="s">
        <v>509</v>
      </c>
      <c r="Y49" s="32" t="s">
        <v>931</v>
      </c>
      <c r="Z49" s="67">
        <v>11085155</v>
      </c>
      <c r="AA49" s="32" t="s">
        <v>33</v>
      </c>
      <c r="AB49" s="32" t="s">
        <v>36</v>
      </c>
      <c r="AC49" s="32" t="s">
        <v>40</v>
      </c>
      <c r="AD49" s="32" t="s">
        <v>65</v>
      </c>
      <c r="AE49" s="45">
        <v>38000</v>
      </c>
      <c r="AF49" s="31" t="s">
        <v>34</v>
      </c>
      <c r="AG49" s="30" t="s">
        <v>4</v>
      </c>
      <c r="AH49" s="32" t="s">
        <v>546</v>
      </c>
      <c r="AI49" s="32"/>
      <c r="AJ49" s="32"/>
      <c r="AK49" s="44" t="s">
        <v>495</v>
      </c>
      <c r="AL49" s="32"/>
      <c r="AM49" s="32" t="s">
        <v>508</v>
      </c>
      <c r="AN49" s="32"/>
      <c r="AO49" s="32" t="s">
        <v>567</v>
      </c>
      <c r="AP49" s="32"/>
      <c r="AQ49" s="32" t="s">
        <v>580</v>
      </c>
      <c r="AR49" s="32"/>
      <c r="AS49" s="32" t="s">
        <v>604</v>
      </c>
      <c r="AT49" s="32"/>
      <c r="AU49" s="32" t="s">
        <v>310</v>
      </c>
      <c r="AV49" s="32"/>
      <c r="AW49" s="32"/>
      <c r="AX49" s="32"/>
      <c r="AY49" s="32"/>
      <c r="AZ49" s="32"/>
      <c r="BA49" s="32"/>
    </row>
    <row r="50" spans="1:53" s="105" customFormat="1" ht="18" customHeight="1" x14ac:dyDescent="0.2">
      <c r="A50" s="30">
        <v>46</v>
      </c>
      <c r="B50" s="32" t="s">
        <v>301</v>
      </c>
      <c r="C50" s="32" t="str">
        <f t="shared" si="1"/>
        <v>434504317315759</v>
      </c>
      <c r="D50" s="30">
        <v>4345043</v>
      </c>
      <c r="E50" s="30">
        <v>17315759</v>
      </c>
      <c r="F50" s="31" t="s">
        <v>350</v>
      </c>
      <c r="G50" s="31">
        <v>70322319</v>
      </c>
      <c r="H50" s="32" t="s">
        <v>44</v>
      </c>
      <c r="I50" s="32"/>
      <c r="J50" s="32" t="s">
        <v>5</v>
      </c>
      <c r="K50" s="32" t="s">
        <v>84</v>
      </c>
      <c r="L50" s="32" t="s">
        <v>3</v>
      </c>
      <c r="M50" s="32" t="s">
        <v>63</v>
      </c>
      <c r="N50" s="39">
        <v>20071.25</v>
      </c>
      <c r="O50" s="39">
        <v>22961.11</v>
      </c>
      <c r="P50" s="32" t="s">
        <v>126</v>
      </c>
      <c r="Q50" s="32" t="s">
        <v>41</v>
      </c>
      <c r="R50" s="32" t="s">
        <v>64</v>
      </c>
      <c r="S50" s="32" t="s">
        <v>36</v>
      </c>
      <c r="T50" s="32" t="s">
        <v>346</v>
      </c>
      <c r="U50" s="32" t="s">
        <v>4</v>
      </c>
      <c r="V50" s="106">
        <v>22807.11</v>
      </c>
      <c r="W50" s="32" t="s">
        <v>169</v>
      </c>
      <c r="X50" s="32" t="s">
        <v>347</v>
      </c>
      <c r="Y50" s="32" t="s">
        <v>348</v>
      </c>
      <c r="Z50" s="67">
        <v>11058653</v>
      </c>
      <c r="AA50" s="32" t="s">
        <v>33</v>
      </c>
      <c r="AB50" s="32" t="s">
        <v>36</v>
      </c>
      <c r="AC50" s="32" t="s">
        <v>40</v>
      </c>
      <c r="AD50" s="32" t="s">
        <v>65</v>
      </c>
      <c r="AE50" s="45">
        <v>23000</v>
      </c>
      <c r="AF50" s="31" t="s">
        <v>34</v>
      </c>
      <c r="AG50" s="30" t="s">
        <v>4</v>
      </c>
      <c r="AH50" s="32" t="s">
        <v>374</v>
      </c>
      <c r="AI50" s="32"/>
      <c r="AJ50" s="32"/>
      <c r="AK50" s="32" t="s">
        <v>349</v>
      </c>
      <c r="AL50" s="32"/>
      <c r="AM50" s="32" t="s">
        <v>344</v>
      </c>
      <c r="AN50" s="32"/>
      <c r="AO50" s="32" t="s">
        <v>377</v>
      </c>
      <c r="AP50" s="32"/>
      <c r="AQ50" s="32" t="s">
        <v>378</v>
      </c>
      <c r="AR50" s="32"/>
      <c r="AS50" s="32" t="s">
        <v>407</v>
      </c>
      <c r="AT50" s="32" t="s">
        <v>582</v>
      </c>
      <c r="AU50" s="32" t="s">
        <v>695</v>
      </c>
      <c r="AV50" s="32" t="s">
        <v>952</v>
      </c>
      <c r="AW50" s="32"/>
      <c r="AX50" s="32"/>
      <c r="AY50" s="32"/>
      <c r="AZ50" s="32" t="s">
        <v>546</v>
      </c>
      <c r="BA50" s="32" t="s">
        <v>561</v>
      </c>
    </row>
    <row r="51" spans="1:53" s="105" customFormat="1" ht="14.25" customHeight="1" x14ac:dyDescent="0.2">
      <c r="A51" s="30">
        <v>47</v>
      </c>
      <c r="B51" s="31" t="s">
        <v>301</v>
      </c>
      <c r="C51" s="32" t="str">
        <f t="shared" si="1"/>
        <v>388609818385703</v>
      </c>
      <c r="D51" s="30">
        <v>3886098</v>
      </c>
      <c r="E51" s="30">
        <v>18385703</v>
      </c>
      <c r="F51" s="31" t="s">
        <v>600</v>
      </c>
      <c r="G51" s="82" t="s">
        <v>623</v>
      </c>
      <c r="H51" s="32" t="s">
        <v>44</v>
      </c>
      <c r="I51" s="32" t="s">
        <v>792</v>
      </c>
      <c r="J51" s="32" t="s">
        <v>5</v>
      </c>
      <c r="K51" s="32" t="s">
        <v>71</v>
      </c>
      <c r="L51" s="32" t="s">
        <v>3</v>
      </c>
      <c r="M51" s="32" t="s">
        <v>63</v>
      </c>
      <c r="N51" s="39">
        <v>403.87</v>
      </c>
      <c r="O51" s="39">
        <v>1340.56</v>
      </c>
      <c r="P51" s="32" t="s">
        <v>126</v>
      </c>
      <c r="Q51" s="32" t="s">
        <v>351</v>
      </c>
      <c r="R51" s="32" t="s">
        <v>64</v>
      </c>
      <c r="S51" s="32" t="s">
        <v>40</v>
      </c>
      <c r="T51" s="32" t="s">
        <v>786</v>
      </c>
      <c r="U51" s="32" t="s">
        <v>4</v>
      </c>
      <c r="V51" s="45">
        <v>22011.84</v>
      </c>
      <c r="W51" s="31" t="s">
        <v>72</v>
      </c>
      <c r="X51" s="32" t="s">
        <v>584</v>
      </c>
      <c r="Y51" s="32" t="s">
        <v>585</v>
      </c>
      <c r="Z51" s="53">
        <v>11069924</v>
      </c>
      <c r="AA51" s="32" t="s">
        <v>33</v>
      </c>
      <c r="AB51" s="32" t="s">
        <v>36</v>
      </c>
      <c r="AC51" s="32" t="s">
        <v>40</v>
      </c>
      <c r="AD51" s="32" t="s">
        <v>65</v>
      </c>
      <c r="AE51" s="45">
        <v>27000</v>
      </c>
      <c r="AF51" s="31" t="s">
        <v>34</v>
      </c>
      <c r="AG51" s="30" t="s">
        <v>4</v>
      </c>
      <c r="AH51" s="32" t="s">
        <v>629</v>
      </c>
      <c r="AI51" s="32"/>
      <c r="AJ51" s="32"/>
      <c r="AK51" s="44" t="s">
        <v>566</v>
      </c>
      <c r="AL51" s="32"/>
      <c r="AM51" s="32" t="s">
        <v>580</v>
      </c>
      <c r="AN51" s="32"/>
      <c r="AO51" s="32" t="s">
        <v>654</v>
      </c>
      <c r="AP51" s="32"/>
      <c r="AQ51" s="32" t="s">
        <v>664</v>
      </c>
      <c r="AR51" s="32"/>
      <c r="AS51" s="32" t="s">
        <v>951</v>
      </c>
      <c r="AT51" s="32"/>
      <c r="AU51" s="32"/>
      <c r="AV51" s="32"/>
      <c r="AW51" s="32"/>
      <c r="AX51" s="32"/>
      <c r="AY51" s="32"/>
      <c r="AZ51" s="32"/>
      <c r="BA51" s="32" t="s">
        <v>675</v>
      </c>
    </row>
    <row r="52" spans="1:53" s="105" customFormat="1" ht="14.25" customHeight="1" x14ac:dyDescent="0.2">
      <c r="A52" s="30">
        <v>48</v>
      </c>
      <c r="B52" s="32" t="s">
        <v>421</v>
      </c>
      <c r="C52" s="32" t="str">
        <f t="shared" si="1"/>
        <v>458891418081014</v>
      </c>
      <c r="D52" s="30">
        <v>4588914</v>
      </c>
      <c r="E52" s="30">
        <v>18081014</v>
      </c>
      <c r="F52" s="97" t="s">
        <v>897</v>
      </c>
      <c r="G52" s="31">
        <v>42275543</v>
      </c>
      <c r="H52" s="31" t="s">
        <v>44</v>
      </c>
      <c r="I52" s="32"/>
      <c r="J52" s="32" t="s">
        <v>5</v>
      </c>
      <c r="K52" s="32" t="s">
        <v>84</v>
      </c>
      <c r="L52" s="32" t="s">
        <v>3</v>
      </c>
      <c r="M52" s="32" t="s">
        <v>63</v>
      </c>
      <c r="N52" s="32"/>
      <c r="O52" s="32"/>
      <c r="P52" s="32" t="s">
        <v>126</v>
      </c>
      <c r="Q52" s="32" t="s">
        <v>351</v>
      </c>
      <c r="R52" s="32" t="s">
        <v>64</v>
      </c>
      <c r="S52" s="32" t="s">
        <v>40</v>
      </c>
      <c r="T52" s="32"/>
      <c r="U52" s="32"/>
      <c r="V52" s="32"/>
      <c r="W52" s="32"/>
      <c r="X52" s="32"/>
      <c r="Y52" s="32"/>
      <c r="Z52" s="67"/>
      <c r="AA52" s="32"/>
      <c r="AB52" s="32"/>
      <c r="AC52" s="32"/>
      <c r="AD52" s="32"/>
      <c r="AE52" s="32"/>
      <c r="AF52" s="31"/>
      <c r="AG52" s="30"/>
      <c r="AH52" s="32"/>
      <c r="AI52" s="32"/>
      <c r="AJ52" s="32"/>
      <c r="AK52" s="32"/>
      <c r="AL52" s="32"/>
      <c r="AM52" s="32"/>
      <c r="AN52" s="32"/>
      <c r="AO52" s="32"/>
      <c r="AP52" s="32"/>
      <c r="AQ52" s="32"/>
      <c r="AR52" s="32"/>
      <c r="AS52" s="32"/>
      <c r="AT52" s="32"/>
      <c r="AU52" s="32"/>
      <c r="AV52" s="32"/>
      <c r="AW52" s="32"/>
      <c r="AX52" s="32"/>
      <c r="AY52" s="32"/>
      <c r="AZ52" s="32"/>
      <c r="BA52" s="68"/>
    </row>
    <row r="53" spans="1:53" s="105" customFormat="1" ht="27" customHeight="1" x14ac:dyDescent="0.2">
      <c r="A53" s="30">
        <v>49</v>
      </c>
      <c r="B53" s="32" t="s">
        <v>301</v>
      </c>
      <c r="C53" s="32" t="str">
        <f t="shared" si="1"/>
        <v>297262513055442</v>
      </c>
      <c r="D53" s="30">
        <v>2972625</v>
      </c>
      <c r="E53" s="30">
        <v>13055442</v>
      </c>
      <c r="F53" s="32" t="s">
        <v>206</v>
      </c>
      <c r="G53" s="31" t="s">
        <v>207</v>
      </c>
      <c r="H53" s="32" t="s">
        <v>44</v>
      </c>
      <c r="I53" s="32" t="s">
        <v>864</v>
      </c>
      <c r="J53" s="32" t="s">
        <v>37</v>
      </c>
      <c r="K53" s="32" t="s">
        <v>71</v>
      </c>
      <c r="L53" s="32" t="s">
        <v>3</v>
      </c>
      <c r="M53" s="32" t="s">
        <v>63</v>
      </c>
      <c r="N53" s="39">
        <v>46570.51</v>
      </c>
      <c r="O53" s="39">
        <v>53976.95</v>
      </c>
      <c r="P53" s="32" t="s">
        <v>126</v>
      </c>
      <c r="Q53" s="32" t="s">
        <v>41</v>
      </c>
      <c r="R53" s="32" t="s">
        <v>64</v>
      </c>
      <c r="S53" s="32" t="s">
        <v>36</v>
      </c>
      <c r="T53" s="32" t="s">
        <v>208</v>
      </c>
      <c r="U53" s="32" t="s">
        <v>44</v>
      </c>
      <c r="V53" s="45">
        <v>54479.22</v>
      </c>
      <c r="W53" s="32" t="s">
        <v>209</v>
      </c>
      <c r="X53" s="32" t="s">
        <v>291</v>
      </c>
      <c r="Y53" s="43" t="s">
        <v>218</v>
      </c>
      <c r="Z53" s="67">
        <v>52217539</v>
      </c>
      <c r="AA53" s="32" t="s">
        <v>43</v>
      </c>
      <c r="AB53" s="32" t="s">
        <v>36</v>
      </c>
      <c r="AC53" s="32" t="s">
        <v>40</v>
      </c>
      <c r="AD53" s="32" t="s">
        <v>65</v>
      </c>
      <c r="AE53" s="45">
        <v>55000</v>
      </c>
      <c r="AF53" s="31" t="s">
        <v>34</v>
      </c>
      <c r="AG53" s="71" t="s">
        <v>4</v>
      </c>
      <c r="AH53" s="32" t="s">
        <v>228</v>
      </c>
      <c r="AI53" s="32"/>
      <c r="AJ53" s="32"/>
      <c r="AK53" s="32" t="s">
        <v>217</v>
      </c>
      <c r="AL53" s="32"/>
      <c r="AM53" s="32" t="s">
        <v>240</v>
      </c>
      <c r="AN53" s="32" t="s">
        <v>310</v>
      </c>
      <c r="AO53" s="32" t="s">
        <v>176</v>
      </c>
      <c r="AP53" s="32"/>
      <c r="AQ53" s="32" t="s">
        <v>216</v>
      </c>
      <c r="AR53" s="32"/>
      <c r="AS53" s="32" t="s">
        <v>270</v>
      </c>
      <c r="AT53" s="32" t="s">
        <v>292</v>
      </c>
      <c r="AU53" s="32"/>
      <c r="AV53" s="32"/>
      <c r="AW53" s="32"/>
      <c r="AX53" s="32"/>
      <c r="AY53" s="32"/>
      <c r="AZ53" s="32" t="s">
        <v>666</v>
      </c>
      <c r="BA53" s="32" t="s">
        <v>678</v>
      </c>
    </row>
    <row r="54" spans="1:53" s="105" customFormat="1" ht="14.25" customHeight="1" x14ac:dyDescent="0.2">
      <c r="A54" s="30">
        <v>50</v>
      </c>
      <c r="B54" s="32" t="s">
        <v>301</v>
      </c>
      <c r="C54" s="32" t="str">
        <f t="shared" si="1"/>
        <v>300306114675577</v>
      </c>
      <c r="D54" s="30">
        <v>3003061</v>
      </c>
      <c r="E54" s="30">
        <v>14675577</v>
      </c>
      <c r="F54" s="31" t="s">
        <v>388</v>
      </c>
      <c r="G54" s="31">
        <v>42454587</v>
      </c>
      <c r="H54" s="32" t="s">
        <v>44</v>
      </c>
      <c r="I54" s="32"/>
      <c r="J54" s="32" t="s">
        <v>37</v>
      </c>
      <c r="K54" s="32" t="s">
        <v>62</v>
      </c>
      <c r="L54" s="32" t="s">
        <v>3</v>
      </c>
      <c r="M54" s="32" t="s">
        <v>63</v>
      </c>
      <c r="N54" s="39">
        <v>29792.06</v>
      </c>
      <c r="O54" s="39">
        <v>29792.06</v>
      </c>
      <c r="P54" s="32" t="s">
        <v>126</v>
      </c>
      <c r="Q54" s="32" t="s">
        <v>393</v>
      </c>
      <c r="R54" s="32" t="s">
        <v>64</v>
      </c>
      <c r="S54" s="32"/>
      <c r="T54" s="32" t="s">
        <v>394</v>
      </c>
      <c r="U54" s="32" t="s">
        <v>4</v>
      </c>
      <c r="V54" s="106">
        <v>81155.27</v>
      </c>
      <c r="W54" s="32" t="s">
        <v>395</v>
      </c>
      <c r="X54" s="32" t="s">
        <v>396</v>
      </c>
      <c r="Y54" s="32" t="s">
        <v>397</v>
      </c>
      <c r="Z54" s="67" t="s">
        <v>399</v>
      </c>
      <c r="AA54" s="32" t="s">
        <v>33</v>
      </c>
      <c r="AB54" s="32" t="s">
        <v>36</v>
      </c>
      <c r="AC54" s="32" t="s">
        <v>40</v>
      </c>
      <c r="AD54" s="32" t="s">
        <v>65</v>
      </c>
      <c r="AE54" s="45">
        <v>82000</v>
      </c>
      <c r="AF54" s="31" t="s">
        <v>34</v>
      </c>
      <c r="AG54" s="30" t="s">
        <v>4</v>
      </c>
      <c r="AH54" s="32" t="s">
        <v>630</v>
      </c>
      <c r="AI54" s="32"/>
      <c r="AJ54" s="32"/>
      <c r="AK54" s="32" t="s">
        <v>392</v>
      </c>
      <c r="AL54" s="32"/>
      <c r="AM54" s="32"/>
      <c r="AN54" s="43" t="s">
        <v>414</v>
      </c>
      <c r="AO54" s="32" t="s">
        <v>654</v>
      </c>
      <c r="AP54" s="32"/>
      <c r="AQ54" s="32"/>
      <c r="AR54" s="32"/>
      <c r="AS54" s="32"/>
      <c r="AT54" s="32"/>
      <c r="AU54" s="32"/>
      <c r="AV54" s="32"/>
      <c r="AW54" s="32"/>
      <c r="AX54" s="32"/>
      <c r="AY54" s="32"/>
      <c r="AZ54" s="32"/>
      <c r="BA54" s="32" t="s">
        <v>674</v>
      </c>
    </row>
    <row r="55" spans="1:53" s="105" customFormat="1" ht="16.5" customHeight="1" x14ac:dyDescent="0.2">
      <c r="A55" s="30">
        <v>51</v>
      </c>
      <c r="B55" s="32" t="s">
        <v>301</v>
      </c>
      <c r="C55" s="32" t="str">
        <f t="shared" si="1"/>
        <v>300306113809623</v>
      </c>
      <c r="D55" s="30">
        <v>3003061</v>
      </c>
      <c r="E55" s="30">
        <v>13809623</v>
      </c>
      <c r="F55" s="31" t="s">
        <v>388</v>
      </c>
      <c r="G55" s="65">
        <v>42454587</v>
      </c>
      <c r="H55" s="32" t="s">
        <v>44</v>
      </c>
      <c r="I55" s="32"/>
      <c r="J55" s="32" t="s">
        <v>37</v>
      </c>
      <c r="K55" s="32" t="s">
        <v>62</v>
      </c>
      <c r="L55" s="32" t="s">
        <v>3</v>
      </c>
      <c r="M55" s="32" t="s">
        <v>63</v>
      </c>
      <c r="N55" s="39">
        <v>44357.48</v>
      </c>
      <c r="O55" s="39">
        <v>45876.18</v>
      </c>
      <c r="P55" s="32" t="s">
        <v>126</v>
      </c>
      <c r="Q55" s="32" t="s">
        <v>32</v>
      </c>
      <c r="R55" s="32" t="s">
        <v>64</v>
      </c>
      <c r="S55" s="47"/>
      <c r="T55" s="47" t="s">
        <v>394</v>
      </c>
      <c r="U55" s="32" t="s">
        <v>4</v>
      </c>
      <c r="V55" s="106">
        <v>81155.27</v>
      </c>
      <c r="W55" s="32" t="s">
        <v>395</v>
      </c>
      <c r="X55" s="32" t="s">
        <v>396</v>
      </c>
      <c r="Y55" s="47" t="s">
        <v>397</v>
      </c>
      <c r="Z55" s="67" t="s">
        <v>399</v>
      </c>
      <c r="AA55" s="32" t="s">
        <v>33</v>
      </c>
      <c r="AB55" s="32" t="s">
        <v>36</v>
      </c>
      <c r="AC55" s="32" t="s">
        <v>40</v>
      </c>
      <c r="AD55" s="32" t="s">
        <v>65</v>
      </c>
      <c r="AE55" s="45">
        <v>82000</v>
      </c>
      <c r="AF55" s="31" t="s">
        <v>34</v>
      </c>
      <c r="AG55" s="30" t="s">
        <v>4</v>
      </c>
      <c r="AH55" s="32" t="s">
        <v>630</v>
      </c>
      <c r="AI55" s="32"/>
      <c r="AJ55" s="32"/>
      <c r="AK55" s="32" t="s">
        <v>392</v>
      </c>
      <c r="AL55" s="32"/>
      <c r="AM55" s="32"/>
      <c r="AN55" s="32"/>
      <c r="AO55" s="32" t="s">
        <v>654</v>
      </c>
      <c r="AP55" s="32"/>
      <c r="AQ55" s="32"/>
      <c r="AR55" s="32"/>
      <c r="AS55" s="32"/>
      <c r="AT55" s="32"/>
      <c r="AU55" s="32" t="s">
        <v>310</v>
      </c>
      <c r="AV55" s="32"/>
      <c r="AW55" s="32"/>
      <c r="AX55" s="32"/>
      <c r="AY55" s="32"/>
      <c r="AZ55" s="32"/>
      <c r="BA55" s="32" t="s">
        <v>674</v>
      </c>
    </row>
    <row r="56" spans="1:53" s="105" customFormat="1" ht="14.25" customHeight="1" x14ac:dyDescent="0.2">
      <c r="A56" s="30">
        <v>52</v>
      </c>
      <c r="B56" s="31" t="s">
        <v>301</v>
      </c>
      <c r="C56" s="32" t="str">
        <f t="shared" si="1"/>
        <v>377129917455650</v>
      </c>
      <c r="D56" s="30">
        <v>3771299</v>
      </c>
      <c r="E56" s="30">
        <v>17455650</v>
      </c>
      <c r="F56" s="31" t="s">
        <v>476</v>
      </c>
      <c r="G56" s="65">
        <v>46039646</v>
      </c>
      <c r="H56" s="32" t="s">
        <v>44</v>
      </c>
      <c r="I56" s="32"/>
      <c r="J56" s="32" t="s">
        <v>37</v>
      </c>
      <c r="K56" s="32" t="s">
        <v>62</v>
      </c>
      <c r="L56" s="32" t="s">
        <v>3</v>
      </c>
      <c r="M56" s="32" t="s">
        <v>63</v>
      </c>
      <c r="N56" s="39">
        <v>5680.13</v>
      </c>
      <c r="O56" s="39">
        <v>8392.66</v>
      </c>
      <c r="P56" s="32" t="s">
        <v>126</v>
      </c>
      <c r="Q56" s="32" t="s">
        <v>32</v>
      </c>
      <c r="R56" s="32" t="s">
        <v>64</v>
      </c>
      <c r="S56" s="47" t="s">
        <v>40</v>
      </c>
      <c r="T56" s="47" t="s">
        <v>757</v>
      </c>
      <c r="U56" s="32" t="s">
        <v>4</v>
      </c>
      <c r="V56" s="45">
        <v>63706.54</v>
      </c>
      <c r="W56" s="31" t="s">
        <v>385</v>
      </c>
      <c r="X56" s="32" t="s">
        <v>516</v>
      </c>
      <c r="Y56" s="32" t="s">
        <v>517</v>
      </c>
      <c r="Z56" s="67">
        <v>11072475</v>
      </c>
      <c r="AA56" s="32" t="s">
        <v>33</v>
      </c>
      <c r="AB56" s="32" t="s">
        <v>36</v>
      </c>
      <c r="AC56" s="32" t="s">
        <v>40</v>
      </c>
      <c r="AD56" s="32" t="s">
        <v>65</v>
      </c>
      <c r="AE56" s="45">
        <v>64000</v>
      </c>
      <c r="AF56" s="31" t="s">
        <v>34</v>
      </c>
      <c r="AG56" s="30" t="s">
        <v>4</v>
      </c>
      <c r="AH56" s="32" t="s">
        <v>717</v>
      </c>
      <c r="AI56" s="32" t="s">
        <v>629</v>
      </c>
      <c r="AJ56" s="32" t="s">
        <v>718</v>
      </c>
      <c r="AK56" s="44" t="s">
        <v>495</v>
      </c>
      <c r="AL56" s="32"/>
      <c r="AM56" s="32" t="s">
        <v>579</v>
      </c>
      <c r="AN56" s="32"/>
      <c r="AO56" s="32" t="s">
        <v>713</v>
      </c>
      <c r="AP56" s="32"/>
      <c r="AQ56" s="74">
        <v>46142</v>
      </c>
      <c r="AR56" s="32"/>
      <c r="AS56" s="32"/>
      <c r="AT56" s="32"/>
      <c r="AU56" s="32"/>
      <c r="AV56" s="32"/>
      <c r="AW56" s="32"/>
      <c r="AX56" s="32"/>
      <c r="AY56" s="32"/>
      <c r="AZ56" s="32" t="s">
        <v>754</v>
      </c>
      <c r="BA56" s="32" t="s">
        <v>716</v>
      </c>
    </row>
    <row r="57" spans="1:53" s="105" customFormat="1" ht="13.5" customHeight="1" x14ac:dyDescent="0.2">
      <c r="A57" s="30">
        <v>53</v>
      </c>
      <c r="B57" s="32" t="s">
        <v>301</v>
      </c>
      <c r="C57" s="32" t="str">
        <f t="shared" si="1"/>
        <v>213128315008907</v>
      </c>
      <c r="D57" s="30">
        <v>2131283</v>
      </c>
      <c r="E57" s="30">
        <v>15008907</v>
      </c>
      <c r="F57" s="31" t="s">
        <v>406</v>
      </c>
      <c r="G57" s="65">
        <v>43544742</v>
      </c>
      <c r="H57" s="32" t="s">
        <v>44</v>
      </c>
      <c r="I57" s="66" t="s">
        <v>524</v>
      </c>
      <c r="J57" s="31" t="s">
        <v>5</v>
      </c>
      <c r="K57" s="32" t="s">
        <v>310</v>
      </c>
      <c r="L57" s="32" t="s">
        <v>3</v>
      </c>
      <c r="M57" s="32" t="s">
        <v>63</v>
      </c>
      <c r="N57" s="39">
        <v>12949.55</v>
      </c>
      <c r="O57" s="39">
        <v>14786.15</v>
      </c>
      <c r="P57" s="32" t="s">
        <v>126</v>
      </c>
      <c r="Q57" s="32" t="s">
        <v>351</v>
      </c>
      <c r="R57" s="32" t="s">
        <v>64</v>
      </c>
      <c r="S57" s="47" t="s">
        <v>36</v>
      </c>
      <c r="T57" s="32" t="s">
        <v>429</v>
      </c>
      <c r="U57" s="31" t="s">
        <v>4</v>
      </c>
      <c r="V57" s="81">
        <v>15385.09</v>
      </c>
      <c r="W57" s="32" t="s">
        <v>430</v>
      </c>
      <c r="X57" s="32" t="s">
        <v>408</v>
      </c>
      <c r="Y57" s="32" t="s">
        <v>409</v>
      </c>
      <c r="Z57" s="72">
        <v>11102022</v>
      </c>
      <c r="AA57" s="32" t="s">
        <v>33</v>
      </c>
      <c r="AB57" s="32" t="s">
        <v>36</v>
      </c>
      <c r="AC57" s="32" t="s">
        <v>40</v>
      </c>
      <c r="AD57" s="32" t="s">
        <v>65</v>
      </c>
      <c r="AE57" s="45">
        <v>16000</v>
      </c>
      <c r="AF57" s="31" t="s">
        <v>34</v>
      </c>
      <c r="AG57" s="30" t="s">
        <v>4</v>
      </c>
      <c r="AH57" s="32" t="s">
        <v>432</v>
      </c>
      <c r="AI57" s="32"/>
      <c r="AJ57" s="32"/>
      <c r="AK57" s="32" t="s">
        <v>410</v>
      </c>
      <c r="AL57" s="32"/>
      <c r="AM57" s="32" t="s">
        <v>431</v>
      </c>
      <c r="AN57" s="31"/>
      <c r="AO57" s="32" t="s">
        <v>433</v>
      </c>
      <c r="AP57" s="32"/>
      <c r="AQ57" s="31" t="s">
        <v>425</v>
      </c>
      <c r="AR57" s="32"/>
      <c r="AS57" s="31" t="s">
        <v>508</v>
      </c>
      <c r="AT57" s="32" t="s">
        <v>576</v>
      </c>
      <c r="AU57" s="32"/>
      <c r="AV57" s="32"/>
      <c r="AW57" s="32"/>
      <c r="AX57" s="32"/>
      <c r="AY57" s="32"/>
      <c r="AZ57" s="32" t="s">
        <v>576</v>
      </c>
      <c r="BA57" s="32" t="s">
        <v>578</v>
      </c>
    </row>
    <row r="58" spans="1:53" s="105" customFormat="1" ht="12" x14ac:dyDescent="0.2">
      <c r="A58" s="30">
        <v>54</v>
      </c>
      <c r="B58" s="31" t="s">
        <v>301</v>
      </c>
      <c r="C58" s="32" t="str">
        <f t="shared" si="1"/>
        <v>432022416925654</v>
      </c>
      <c r="D58" s="30">
        <v>4320224</v>
      </c>
      <c r="E58" s="30">
        <v>16925654</v>
      </c>
      <c r="F58" s="31" t="s">
        <v>469</v>
      </c>
      <c r="G58" s="65" t="s">
        <v>477</v>
      </c>
      <c r="H58" s="32" t="s">
        <v>44</v>
      </c>
      <c r="I58" s="32" t="s">
        <v>963</v>
      </c>
      <c r="J58" s="32" t="s">
        <v>5</v>
      </c>
      <c r="K58" s="32" t="s">
        <v>71</v>
      </c>
      <c r="L58" s="32" t="s">
        <v>3</v>
      </c>
      <c r="M58" s="32" t="s">
        <v>63</v>
      </c>
      <c r="N58" s="39">
        <v>39822.949999999997</v>
      </c>
      <c r="O58" s="39">
        <v>42124.07</v>
      </c>
      <c r="P58" s="32" t="s">
        <v>50</v>
      </c>
      <c r="Q58" s="32" t="s">
        <v>32</v>
      </c>
      <c r="R58" s="32" t="s">
        <v>64</v>
      </c>
      <c r="S58" s="47" t="s">
        <v>40</v>
      </c>
      <c r="T58" s="47" t="s">
        <v>478</v>
      </c>
      <c r="U58" s="32" t="s">
        <v>44</v>
      </c>
      <c r="V58" s="45">
        <v>118964.62</v>
      </c>
      <c r="W58" s="31" t="s">
        <v>480</v>
      </c>
      <c r="X58" s="32"/>
      <c r="Y58" s="47" t="s">
        <v>481</v>
      </c>
      <c r="Z58" s="72">
        <v>11069982</v>
      </c>
      <c r="AA58" s="32" t="s">
        <v>33</v>
      </c>
      <c r="AB58" s="32" t="s">
        <v>36</v>
      </c>
      <c r="AC58" s="32" t="s">
        <v>40</v>
      </c>
      <c r="AD58" s="32" t="s">
        <v>65</v>
      </c>
      <c r="AE58" s="45">
        <v>118964.62</v>
      </c>
      <c r="AF58" s="31" t="s">
        <v>34</v>
      </c>
      <c r="AG58" s="30" t="s">
        <v>44</v>
      </c>
      <c r="AH58" s="32"/>
      <c r="AI58" s="32"/>
      <c r="AJ58" s="32"/>
      <c r="AK58" s="32"/>
      <c r="AL58" s="32"/>
      <c r="AM58" s="32"/>
      <c r="AN58" s="32"/>
      <c r="AO58" s="32" t="s">
        <v>479</v>
      </c>
      <c r="AP58" s="32"/>
      <c r="AQ58" s="32" t="s">
        <v>562</v>
      </c>
      <c r="AR58" s="32"/>
      <c r="AS58" s="32" t="s">
        <v>878</v>
      </c>
      <c r="AT58" s="32"/>
      <c r="AU58" s="32"/>
      <c r="AV58" s="32"/>
      <c r="AW58" s="32"/>
      <c r="AX58" s="32"/>
      <c r="AY58" s="32"/>
      <c r="AZ58" s="32" t="s">
        <v>926</v>
      </c>
      <c r="BA58" s="32" t="s">
        <v>964</v>
      </c>
    </row>
    <row r="59" spans="1:53" s="105" customFormat="1" ht="12" x14ac:dyDescent="0.2">
      <c r="A59" s="30">
        <v>55</v>
      </c>
      <c r="B59" s="31" t="s">
        <v>301</v>
      </c>
      <c r="C59" s="32" t="str">
        <f t="shared" si="1"/>
        <v>432022418945714</v>
      </c>
      <c r="D59" s="30">
        <v>4320224</v>
      </c>
      <c r="E59" s="30">
        <v>18945714</v>
      </c>
      <c r="F59" s="31" t="s">
        <v>469</v>
      </c>
      <c r="G59" s="65" t="s">
        <v>477</v>
      </c>
      <c r="H59" s="32" t="s">
        <v>44</v>
      </c>
      <c r="I59" s="32"/>
      <c r="J59" s="32" t="s">
        <v>5</v>
      </c>
      <c r="K59" s="32" t="s">
        <v>71</v>
      </c>
      <c r="L59" s="32" t="s">
        <v>3</v>
      </c>
      <c r="M59" s="32" t="s">
        <v>63</v>
      </c>
      <c r="N59" s="39">
        <v>72445.61</v>
      </c>
      <c r="O59" s="39">
        <v>74085.929999999993</v>
      </c>
      <c r="P59" s="32" t="s">
        <v>50</v>
      </c>
      <c r="Q59" s="32" t="s">
        <v>32</v>
      </c>
      <c r="R59" s="32" t="s">
        <v>64</v>
      </c>
      <c r="S59" s="47" t="s">
        <v>40</v>
      </c>
      <c r="T59" s="68" t="s">
        <v>478</v>
      </c>
      <c r="U59" s="32" t="s">
        <v>44</v>
      </c>
      <c r="V59" s="45">
        <v>118964.62</v>
      </c>
      <c r="W59" s="31" t="s">
        <v>480</v>
      </c>
      <c r="X59" s="32"/>
      <c r="Y59" s="47" t="s">
        <v>932</v>
      </c>
      <c r="Z59" s="72">
        <v>11069982</v>
      </c>
      <c r="AA59" s="32" t="s">
        <v>33</v>
      </c>
      <c r="AB59" s="32" t="s">
        <v>36</v>
      </c>
      <c r="AC59" s="32" t="s">
        <v>40</v>
      </c>
      <c r="AD59" s="32" t="s">
        <v>65</v>
      </c>
      <c r="AE59" s="45">
        <v>118964.62</v>
      </c>
      <c r="AF59" s="31" t="s">
        <v>34</v>
      </c>
      <c r="AG59" s="30" t="s">
        <v>44</v>
      </c>
      <c r="AH59" s="32"/>
      <c r="AI59" s="32"/>
      <c r="AJ59" s="32"/>
      <c r="AK59" s="32"/>
      <c r="AL59" s="32"/>
      <c r="AM59" s="32"/>
      <c r="AN59" s="32"/>
      <c r="AO59" s="32" t="s">
        <v>479</v>
      </c>
      <c r="AP59" s="68"/>
      <c r="AQ59" s="32" t="s">
        <v>562</v>
      </c>
      <c r="AR59" s="32"/>
      <c r="AS59" s="32" t="s">
        <v>878</v>
      </c>
      <c r="AT59" s="32"/>
      <c r="AU59" s="32"/>
      <c r="AV59" s="32"/>
      <c r="AW59" s="32"/>
      <c r="AX59" s="32"/>
      <c r="AY59" s="32"/>
      <c r="AZ59" s="32" t="s">
        <v>413</v>
      </c>
      <c r="BA59" s="32" t="s">
        <v>877</v>
      </c>
    </row>
    <row r="60" spans="1:53" s="105" customFormat="1" ht="11.25" customHeight="1" x14ac:dyDescent="0.2">
      <c r="A60" s="30">
        <v>56</v>
      </c>
      <c r="B60" s="32" t="s">
        <v>301</v>
      </c>
      <c r="C60" s="32" t="str">
        <f t="shared" si="1"/>
        <v>24963027129044</v>
      </c>
      <c r="D60" s="30">
        <v>2496302</v>
      </c>
      <c r="E60" s="30">
        <v>7129044</v>
      </c>
      <c r="F60" s="31" t="s">
        <v>73</v>
      </c>
      <c r="G60" s="31">
        <v>42754115</v>
      </c>
      <c r="H60" s="32" t="s">
        <v>44</v>
      </c>
      <c r="I60" s="32" t="s">
        <v>482</v>
      </c>
      <c r="J60" s="32" t="s">
        <v>37</v>
      </c>
      <c r="K60" s="31" t="s">
        <v>71</v>
      </c>
      <c r="L60" s="32" t="s">
        <v>3</v>
      </c>
      <c r="M60" s="32" t="s">
        <v>63</v>
      </c>
      <c r="N60" s="39">
        <v>30810.51</v>
      </c>
      <c r="O60" s="39">
        <v>42001.57</v>
      </c>
      <c r="P60" s="32" t="s">
        <v>126</v>
      </c>
      <c r="Q60" s="32" t="s">
        <v>41</v>
      </c>
      <c r="R60" s="32" t="s">
        <v>64</v>
      </c>
      <c r="S60" s="32" t="s">
        <v>36</v>
      </c>
      <c r="T60" s="32" t="s">
        <v>74</v>
      </c>
      <c r="U60" s="31" t="s">
        <v>4</v>
      </c>
      <c r="V60" s="45">
        <v>42001.57</v>
      </c>
      <c r="W60" s="32" t="s">
        <v>72</v>
      </c>
      <c r="X60" s="32" t="s">
        <v>75</v>
      </c>
      <c r="Y60" s="32" t="s">
        <v>933</v>
      </c>
      <c r="Z60" s="67" t="s">
        <v>76</v>
      </c>
      <c r="AA60" s="32" t="s">
        <v>33</v>
      </c>
      <c r="AB60" s="32" t="s">
        <v>36</v>
      </c>
      <c r="AC60" s="32" t="s">
        <v>40</v>
      </c>
      <c r="AD60" s="43" t="s">
        <v>65</v>
      </c>
      <c r="AE60" s="45">
        <v>44000</v>
      </c>
      <c r="AF60" s="31" t="s">
        <v>34</v>
      </c>
      <c r="AG60" s="30" t="s">
        <v>4</v>
      </c>
      <c r="AH60" s="32" t="s">
        <v>49</v>
      </c>
      <c r="AI60" s="32"/>
      <c r="AJ60" s="32"/>
      <c r="AK60" s="44" t="s">
        <v>45</v>
      </c>
      <c r="AL60" s="32"/>
      <c r="AM60" s="32" t="s">
        <v>77</v>
      </c>
      <c r="AN60" s="73"/>
      <c r="AO60" s="32" t="s">
        <v>78</v>
      </c>
      <c r="AP60" s="32"/>
      <c r="AQ60" s="32" t="s">
        <v>79</v>
      </c>
      <c r="AR60" s="32"/>
      <c r="AS60" s="32" t="s">
        <v>48</v>
      </c>
      <c r="AT60" s="32" t="s">
        <v>80</v>
      </c>
      <c r="AU60" s="32" t="s">
        <v>179</v>
      </c>
      <c r="AV60" s="74"/>
      <c r="AW60" s="32" t="s">
        <v>340</v>
      </c>
      <c r="AX60" s="32"/>
      <c r="AY60" s="32"/>
      <c r="AZ60" s="32" t="s">
        <v>457</v>
      </c>
      <c r="BA60" s="31" t="s">
        <v>458</v>
      </c>
    </row>
    <row r="61" spans="1:53" s="68" customFormat="1" ht="12.75" customHeight="1" x14ac:dyDescent="0.2">
      <c r="A61" s="30">
        <v>57</v>
      </c>
      <c r="B61" s="31" t="s">
        <v>301</v>
      </c>
      <c r="C61" s="32" t="str">
        <f t="shared" ref="C61:C92" si="2">D61&amp;E61</f>
        <v>346813114772607</v>
      </c>
      <c r="D61" s="30">
        <v>3468131</v>
      </c>
      <c r="E61" s="30">
        <v>14772607</v>
      </c>
      <c r="F61" s="31" t="s">
        <v>526</v>
      </c>
      <c r="G61" s="31">
        <v>42217142</v>
      </c>
      <c r="H61" s="32" t="s">
        <v>44</v>
      </c>
      <c r="I61" s="32"/>
      <c r="J61" s="32" t="s">
        <v>5</v>
      </c>
      <c r="K61" s="32" t="s">
        <v>62</v>
      </c>
      <c r="L61" s="32" t="s">
        <v>3</v>
      </c>
      <c r="M61" s="32" t="s">
        <v>63</v>
      </c>
      <c r="N61" s="39">
        <v>47854.3</v>
      </c>
      <c r="O61" s="39">
        <v>79060.320000000007</v>
      </c>
      <c r="P61" s="32" t="s">
        <v>126</v>
      </c>
      <c r="Q61" s="32" t="s">
        <v>32</v>
      </c>
      <c r="R61" s="32" t="s">
        <v>64</v>
      </c>
      <c r="S61" s="32" t="s">
        <v>40</v>
      </c>
      <c r="T61" s="32" t="s">
        <v>755</v>
      </c>
      <c r="U61" s="32" t="s">
        <v>4</v>
      </c>
      <c r="V61" s="45">
        <v>81709.25</v>
      </c>
      <c r="W61" s="32" t="s">
        <v>453</v>
      </c>
      <c r="X61" s="32" t="s">
        <v>535</v>
      </c>
      <c r="Y61" s="32" t="s">
        <v>529</v>
      </c>
      <c r="Z61" s="53">
        <v>11034999</v>
      </c>
      <c r="AA61" s="32" t="s">
        <v>33</v>
      </c>
      <c r="AB61" s="32" t="s">
        <v>42</v>
      </c>
      <c r="AC61" s="32" t="s">
        <v>530</v>
      </c>
      <c r="AD61" s="32" t="s">
        <v>65</v>
      </c>
      <c r="AE61" s="45">
        <v>82000</v>
      </c>
      <c r="AF61" s="31" t="s">
        <v>34</v>
      </c>
      <c r="AG61" s="30" t="s">
        <v>4</v>
      </c>
      <c r="AH61" s="32" t="s">
        <v>747</v>
      </c>
      <c r="AI61" s="32" t="s">
        <v>629</v>
      </c>
      <c r="AJ61" s="32" t="s">
        <v>734</v>
      </c>
      <c r="AK61" s="44" t="s">
        <v>536</v>
      </c>
      <c r="AL61" s="32"/>
      <c r="AM61" s="32" t="s">
        <v>756</v>
      </c>
      <c r="AN61" s="32"/>
      <c r="AO61" s="32" t="s">
        <v>758</v>
      </c>
      <c r="AP61" s="32"/>
      <c r="AQ61" s="32" t="s">
        <v>814</v>
      </c>
      <c r="AR61" s="32"/>
      <c r="AS61" s="32"/>
      <c r="AT61" s="32"/>
      <c r="AU61" s="32"/>
      <c r="AV61" s="32"/>
      <c r="AW61" s="32"/>
      <c r="AX61" s="32"/>
      <c r="AY61" s="32"/>
      <c r="AZ61" s="32"/>
      <c r="BA61" s="32"/>
    </row>
    <row r="62" spans="1:53" s="68" customFormat="1" ht="10.5" customHeight="1" x14ac:dyDescent="0.2">
      <c r="A62" s="30">
        <v>58</v>
      </c>
      <c r="B62" s="31" t="s">
        <v>301</v>
      </c>
      <c r="C62" s="32" t="str">
        <f t="shared" si="2"/>
        <v>326933519419697</v>
      </c>
      <c r="D62" s="30">
        <v>3269335</v>
      </c>
      <c r="E62" s="30">
        <v>19419697</v>
      </c>
      <c r="F62" s="31" t="s">
        <v>588</v>
      </c>
      <c r="G62" s="31">
        <v>43044542</v>
      </c>
      <c r="H62" s="32" t="s">
        <v>44</v>
      </c>
      <c r="I62" s="32"/>
      <c r="J62" s="32" t="s">
        <v>37</v>
      </c>
      <c r="K62" s="32" t="s">
        <v>71</v>
      </c>
      <c r="L62" s="32" t="s">
        <v>3</v>
      </c>
      <c r="M62" s="32" t="s">
        <v>68</v>
      </c>
      <c r="N62" s="39">
        <v>74681.31</v>
      </c>
      <c r="O62" s="39">
        <v>81783.14</v>
      </c>
      <c r="P62" s="32" t="s">
        <v>67</v>
      </c>
      <c r="Q62" s="32" t="s">
        <v>111</v>
      </c>
      <c r="R62" s="32" t="s">
        <v>64</v>
      </c>
      <c r="S62" s="32" t="s">
        <v>40</v>
      </c>
      <c r="T62" s="32" t="s">
        <v>599</v>
      </c>
      <c r="U62" s="32" t="s">
        <v>44</v>
      </c>
      <c r="V62" s="45">
        <v>83424</v>
      </c>
      <c r="W62" s="31" t="s">
        <v>601</v>
      </c>
      <c r="X62" s="32"/>
      <c r="Y62" s="32"/>
      <c r="Z62" s="53"/>
      <c r="AA62" s="32" t="s">
        <v>33</v>
      </c>
      <c r="AB62" s="32"/>
      <c r="AC62" s="32"/>
      <c r="AD62" s="32"/>
      <c r="AE62" s="32"/>
      <c r="AF62" s="31"/>
      <c r="AG62" s="30"/>
      <c r="AH62" s="32"/>
      <c r="AI62" s="32"/>
      <c r="AJ62" s="32"/>
      <c r="AK62" s="44"/>
      <c r="AL62" s="32"/>
      <c r="AM62" s="32"/>
      <c r="AN62" s="32"/>
      <c r="AO62" s="32" t="s">
        <v>577</v>
      </c>
      <c r="AP62" s="32"/>
      <c r="AQ62" s="32" t="s">
        <v>590</v>
      </c>
      <c r="AR62" s="32"/>
      <c r="AS62" s="32" t="s">
        <v>748</v>
      </c>
      <c r="AT62" s="32"/>
      <c r="AU62" s="32"/>
      <c r="AV62" s="32"/>
      <c r="AW62" s="32"/>
      <c r="AX62" s="32"/>
      <c r="AY62" s="32"/>
      <c r="AZ62" s="32" t="s">
        <v>814</v>
      </c>
      <c r="BA62" s="32"/>
    </row>
    <row r="63" spans="1:53" s="105" customFormat="1" ht="12" x14ac:dyDescent="0.2">
      <c r="A63" s="30">
        <v>59</v>
      </c>
      <c r="B63" s="31" t="s">
        <v>301</v>
      </c>
      <c r="C63" s="32" t="str">
        <f t="shared" si="2"/>
        <v>326933519419697</v>
      </c>
      <c r="D63" s="30">
        <v>3269335</v>
      </c>
      <c r="E63" s="30">
        <v>19419697</v>
      </c>
      <c r="F63" s="31" t="s">
        <v>588</v>
      </c>
      <c r="G63" s="31" t="s">
        <v>593</v>
      </c>
      <c r="H63" s="32" t="s">
        <v>44</v>
      </c>
      <c r="I63" s="32"/>
      <c r="J63" s="32" t="s">
        <v>37</v>
      </c>
      <c r="K63" s="32" t="s">
        <v>71</v>
      </c>
      <c r="L63" s="32" t="s">
        <v>3</v>
      </c>
      <c r="M63" s="32" t="s">
        <v>68</v>
      </c>
      <c r="N63" s="39">
        <v>74681.31</v>
      </c>
      <c r="O63" s="39">
        <v>81783.14</v>
      </c>
      <c r="P63" s="32" t="s">
        <v>47</v>
      </c>
      <c r="Q63" s="32" t="s">
        <v>111</v>
      </c>
      <c r="R63" s="32" t="s">
        <v>64</v>
      </c>
      <c r="S63" s="32" t="s">
        <v>40</v>
      </c>
      <c r="T63" s="32" t="s">
        <v>656</v>
      </c>
      <c r="U63" s="32" t="s">
        <v>44</v>
      </c>
      <c r="V63" s="81">
        <v>83424</v>
      </c>
      <c r="W63" s="31" t="s">
        <v>657</v>
      </c>
      <c r="X63" s="32" t="s">
        <v>763</v>
      </c>
      <c r="Y63" s="118" t="s">
        <v>594</v>
      </c>
      <c r="Z63" s="53">
        <v>11094026</v>
      </c>
      <c r="AA63" s="32" t="s">
        <v>33</v>
      </c>
      <c r="AB63" s="32"/>
      <c r="AC63" s="32"/>
      <c r="AD63" s="32"/>
      <c r="AE63" s="45">
        <v>90000</v>
      </c>
      <c r="AF63" s="31" t="s">
        <v>34</v>
      </c>
      <c r="AG63" s="30" t="s">
        <v>4</v>
      </c>
      <c r="AH63" s="32" t="s">
        <v>834</v>
      </c>
      <c r="AI63" s="32" t="s">
        <v>835</v>
      </c>
      <c r="AJ63" s="32" t="s">
        <v>718</v>
      </c>
      <c r="AK63" s="44" t="s">
        <v>759</v>
      </c>
      <c r="AL63" s="32"/>
      <c r="AM63" s="32" t="s">
        <v>764</v>
      </c>
      <c r="AN63" s="32" t="s">
        <v>765</v>
      </c>
      <c r="AO63" s="32" t="s">
        <v>576</v>
      </c>
      <c r="AP63" s="32"/>
      <c r="AQ63" s="32" t="s">
        <v>655</v>
      </c>
      <c r="AR63" s="32"/>
      <c r="AS63" s="32"/>
      <c r="AT63" s="32"/>
      <c r="AU63" s="32"/>
      <c r="AV63" s="32"/>
      <c r="AW63" s="32"/>
      <c r="AX63" s="32"/>
      <c r="AY63" s="32"/>
      <c r="AZ63" s="32" t="s">
        <v>955</v>
      </c>
      <c r="BA63" s="32" t="s">
        <v>956</v>
      </c>
    </row>
    <row r="64" spans="1:53" s="105" customFormat="1" ht="14.25" customHeight="1" x14ac:dyDescent="0.2">
      <c r="A64" s="30">
        <v>60</v>
      </c>
      <c r="B64" s="32" t="s">
        <v>301</v>
      </c>
      <c r="C64" s="32" t="str">
        <f t="shared" si="2"/>
        <v>13526825444333</v>
      </c>
      <c r="D64" s="30">
        <v>1352682</v>
      </c>
      <c r="E64" s="30">
        <v>5444333</v>
      </c>
      <c r="F64" s="31" t="s">
        <v>85</v>
      </c>
      <c r="G64" s="31">
        <v>20575763</v>
      </c>
      <c r="H64" s="32" t="s">
        <v>44</v>
      </c>
      <c r="I64" s="32"/>
      <c r="J64" s="32" t="s">
        <v>5</v>
      </c>
      <c r="K64" s="32" t="s">
        <v>84</v>
      </c>
      <c r="L64" s="32" t="s">
        <v>3</v>
      </c>
      <c r="M64" s="32" t="s">
        <v>63</v>
      </c>
      <c r="N64" s="46">
        <v>88562.32</v>
      </c>
      <c r="O64" s="39">
        <v>161021.84000000003</v>
      </c>
      <c r="P64" s="32" t="s">
        <v>50</v>
      </c>
      <c r="Q64" s="32" t="s">
        <v>32</v>
      </c>
      <c r="R64" s="32" t="s">
        <v>64</v>
      </c>
      <c r="S64" s="32" t="s">
        <v>36</v>
      </c>
      <c r="T64" s="32" t="s">
        <v>86</v>
      </c>
      <c r="U64" s="31" t="s">
        <v>44</v>
      </c>
      <c r="V64" s="45">
        <v>470448.56</v>
      </c>
      <c r="W64" s="32" t="s">
        <v>66</v>
      </c>
      <c r="X64" s="32"/>
      <c r="Y64" s="32" t="s">
        <v>87</v>
      </c>
      <c r="Z64" s="67">
        <v>2000458</v>
      </c>
      <c r="AA64" s="32" t="s">
        <v>33</v>
      </c>
      <c r="AB64" s="32" t="s">
        <v>36</v>
      </c>
      <c r="AC64" s="32" t="s">
        <v>88</v>
      </c>
      <c r="AD64" s="43" t="s">
        <v>545</v>
      </c>
      <c r="AE64" s="45">
        <v>470448.56</v>
      </c>
      <c r="AF64" s="31" t="s">
        <v>34</v>
      </c>
      <c r="AG64" s="30" t="s">
        <v>4</v>
      </c>
      <c r="AH64" s="32" t="s">
        <v>89</v>
      </c>
      <c r="AI64" s="32"/>
      <c r="AJ64" s="32"/>
      <c r="AK64" s="44"/>
      <c r="AL64" s="32"/>
      <c r="AM64" s="32"/>
      <c r="AN64" s="32"/>
      <c r="AO64" s="32" t="s">
        <v>90</v>
      </c>
      <c r="AP64" s="32"/>
      <c r="AQ64" s="32" t="s">
        <v>91</v>
      </c>
      <c r="AR64" s="32"/>
      <c r="AS64" s="32" t="s">
        <v>113</v>
      </c>
      <c r="AT64" s="32"/>
      <c r="AU64" s="32"/>
      <c r="AV64" s="32"/>
      <c r="AW64" s="32"/>
      <c r="AX64" s="32"/>
      <c r="AY64" s="32"/>
      <c r="AZ64" s="32" t="s">
        <v>696</v>
      </c>
      <c r="BA64" s="32" t="s">
        <v>698</v>
      </c>
    </row>
    <row r="65" spans="1:53" s="105" customFormat="1" ht="17.25" customHeight="1" x14ac:dyDescent="0.2">
      <c r="A65" s="30">
        <v>61</v>
      </c>
      <c r="B65" s="32" t="s">
        <v>301</v>
      </c>
      <c r="C65" s="32" t="str">
        <f t="shared" si="2"/>
        <v>13526825444333</v>
      </c>
      <c r="D65" s="30">
        <v>1352682</v>
      </c>
      <c r="E65" s="30">
        <v>5444333</v>
      </c>
      <c r="F65" s="31" t="s">
        <v>85</v>
      </c>
      <c r="G65" s="31">
        <v>20575763</v>
      </c>
      <c r="H65" s="32" t="s">
        <v>44</v>
      </c>
      <c r="I65" s="32" t="s">
        <v>294</v>
      </c>
      <c r="J65" s="32" t="s">
        <v>5</v>
      </c>
      <c r="K65" s="32" t="s">
        <v>84</v>
      </c>
      <c r="L65" s="32" t="s">
        <v>3</v>
      </c>
      <c r="M65" s="32" t="s">
        <v>63</v>
      </c>
      <c r="N65" s="46">
        <v>88562.32</v>
      </c>
      <c r="O65" s="46">
        <v>161021.84000000003</v>
      </c>
      <c r="P65" s="32" t="s">
        <v>296</v>
      </c>
      <c r="Q65" s="32" t="s">
        <v>32</v>
      </c>
      <c r="R65" s="32" t="s">
        <v>64</v>
      </c>
      <c r="S65" s="32" t="s">
        <v>36</v>
      </c>
      <c r="T65" s="32" t="s">
        <v>298</v>
      </c>
      <c r="U65" s="32" t="s">
        <v>44</v>
      </c>
      <c r="V65" s="45">
        <v>470448.56</v>
      </c>
      <c r="W65" s="32" t="s">
        <v>299</v>
      </c>
      <c r="X65" s="32" t="s">
        <v>40</v>
      </c>
      <c r="Y65" s="32" t="s">
        <v>87</v>
      </c>
      <c r="Z65" s="67">
        <v>2000458</v>
      </c>
      <c r="AA65" s="32" t="s">
        <v>33</v>
      </c>
      <c r="AB65" s="32" t="s">
        <v>36</v>
      </c>
      <c r="AC65" s="32"/>
      <c r="AD65" s="43" t="s">
        <v>65</v>
      </c>
      <c r="AE65" s="45" t="s">
        <v>40</v>
      </c>
      <c r="AF65" s="31" t="s">
        <v>34</v>
      </c>
      <c r="AG65" s="30" t="s">
        <v>44</v>
      </c>
      <c r="AH65" s="32"/>
      <c r="AI65" s="32"/>
      <c r="AJ65" s="32"/>
      <c r="AK65" s="32"/>
      <c r="AL65" s="32"/>
      <c r="AM65" s="32"/>
      <c r="AN65" s="32"/>
      <c r="AO65" s="32" t="s">
        <v>300</v>
      </c>
      <c r="AP65" s="32"/>
      <c r="AQ65" s="32"/>
      <c r="AR65" s="32"/>
      <c r="AS65" s="32"/>
      <c r="AT65" s="32"/>
      <c r="AU65" s="32"/>
      <c r="AV65" s="32"/>
      <c r="AW65" s="32"/>
      <c r="AX65" s="32"/>
      <c r="AY65" s="32"/>
      <c r="AZ65" s="32" t="s">
        <v>695</v>
      </c>
      <c r="BA65" s="32" t="s">
        <v>697</v>
      </c>
    </row>
    <row r="66" spans="1:53" s="105" customFormat="1" ht="16.5" customHeight="1" x14ac:dyDescent="0.2">
      <c r="A66" s="30">
        <v>62</v>
      </c>
      <c r="B66" s="32" t="s">
        <v>301</v>
      </c>
      <c r="C66" s="32" t="str">
        <f t="shared" si="2"/>
        <v>399422016454023</v>
      </c>
      <c r="D66" s="30">
        <v>3994220</v>
      </c>
      <c r="E66" s="30">
        <v>16454023</v>
      </c>
      <c r="F66" s="32" t="s">
        <v>322</v>
      </c>
      <c r="G66" s="31">
        <v>42913473</v>
      </c>
      <c r="H66" s="32" t="s">
        <v>44</v>
      </c>
      <c r="I66" s="66" t="s">
        <v>691</v>
      </c>
      <c r="J66" s="32" t="s">
        <v>5</v>
      </c>
      <c r="K66" s="32" t="s">
        <v>84</v>
      </c>
      <c r="L66" s="32" t="s">
        <v>3</v>
      </c>
      <c r="M66" s="32" t="s">
        <v>63</v>
      </c>
      <c r="N66" s="46">
        <v>53766.63</v>
      </c>
      <c r="O66" s="46">
        <v>61829.2</v>
      </c>
      <c r="P66" s="32" t="s">
        <v>126</v>
      </c>
      <c r="Q66" s="32" t="s">
        <v>32</v>
      </c>
      <c r="R66" s="32" t="s">
        <v>64</v>
      </c>
      <c r="S66" s="32"/>
      <c r="T66" s="32" t="s">
        <v>323</v>
      </c>
      <c r="U66" s="32" t="s">
        <v>4</v>
      </c>
      <c r="V66" s="45">
        <v>60872.44</v>
      </c>
      <c r="W66" s="32" t="s">
        <v>324</v>
      </c>
      <c r="X66" s="32" t="s">
        <v>325</v>
      </c>
      <c r="Y66" s="88" t="s">
        <v>326</v>
      </c>
      <c r="Z66" s="67" t="s">
        <v>328</v>
      </c>
      <c r="AA66" s="88" t="s">
        <v>33</v>
      </c>
      <c r="AB66" s="88" t="s">
        <v>36</v>
      </c>
      <c r="AC66" s="88" t="s">
        <v>40</v>
      </c>
      <c r="AD66" s="88" t="s">
        <v>65</v>
      </c>
      <c r="AE66" s="45">
        <v>61000</v>
      </c>
      <c r="AF66" s="31" t="s">
        <v>34</v>
      </c>
      <c r="AG66" s="30" t="s">
        <v>4</v>
      </c>
      <c r="AH66" s="32" t="s">
        <v>423</v>
      </c>
      <c r="AI66" s="32"/>
      <c r="AJ66" s="32"/>
      <c r="AK66" s="32" t="s">
        <v>327</v>
      </c>
      <c r="AL66" s="32" t="s">
        <v>367</v>
      </c>
      <c r="AM66" s="32" t="s">
        <v>383</v>
      </c>
      <c r="AN66" s="32"/>
      <c r="AO66" s="32" t="s">
        <v>428</v>
      </c>
      <c r="AP66" s="32"/>
      <c r="AQ66" s="32" t="s">
        <v>490</v>
      </c>
      <c r="AR66" s="32"/>
      <c r="AS66" s="32" t="s">
        <v>648</v>
      </c>
      <c r="AT66" s="32"/>
      <c r="AU66" s="32"/>
      <c r="AV66" s="32"/>
      <c r="AW66" s="32"/>
      <c r="AX66" s="32"/>
      <c r="AY66" s="32"/>
      <c r="AZ66" s="32" t="s">
        <v>648</v>
      </c>
      <c r="BA66" s="32"/>
    </row>
    <row r="67" spans="1:53" s="105" customFormat="1" ht="19.5" customHeight="1" x14ac:dyDescent="0.2">
      <c r="A67" s="30">
        <v>63</v>
      </c>
      <c r="B67" s="32" t="s">
        <v>421</v>
      </c>
      <c r="C67" s="32" t="str">
        <f t="shared" si="2"/>
        <v>336785217610650</v>
      </c>
      <c r="D67" s="30">
        <v>3367852</v>
      </c>
      <c r="E67" s="30">
        <v>17610650</v>
      </c>
      <c r="F67" s="31" t="s">
        <v>618</v>
      </c>
      <c r="G67" s="31">
        <v>20984342</v>
      </c>
      <c r="H67" s="31" t="s">
        <v>44</v>
      </c>
      <c r="I67" s="32"/>
      <c r="J67" s="32" t="s">
        <v>37</v>
      </c>
      <c r="K67" s="32" t="s">
        <v>62</v>
      </c>
      <c r="L67" s="32" t="s">
        <v>3</v>
      </c>
      <c r="M67" s="32" t="s">
        <v>63</v>
      </c>
      <c r="N67" s="39">
        <v>16281.57</v>
      </c>
      <c r="O67" s="39">
        <v>20625.009999999998</v>
      </c>
      <c r="P67" s="32" t="s">
        <v>126</v>
      </c>
      <c r="Q67" s="32" t="s">
        <v>41</v>
      </c>
      <c r="R67" s="32" t="s">
        <v>64</v>
      </c>
      <c r="S67" s="32" t="s">
        <v>40</v>
      </c>
      <c r="T67" s="32" t="s">
        <v>816</v>
      </c>
      <c r="U67" s="32" t="s">
        <v>4</v>
      </c>
      <c r="V67" s="32" t="s">
        <v>817</v>
      </c>
      <c r="W67" s="32" t="s">
        <v>112</v>
      </c>
      <c r="X67" s="32" t="s">
        <v>637</v>
      </c>
      <c r="Y67" s="32" t="s">
        <v>638</v>
      </c>
      <c r="Z67" s="67">
        <v>11007477</v>
      </c>
      <c r="AA67" s="47" t="s">
        <v>33</v>
      </c>
      <c r="AB67" s="32" t="s">
        <v>35</v>
      </c>
      <c r="AC67" s="32" t="s">
        <v>639</v>
      </c>
      <c r="AD67" s="32" t="s">
        <v>65</v>
      </c>
      <c r="AE67" s="45">
        <v>22000</v>
      </c>
      <c r="AF67" s="31" t="s">
        <v>34</v>
      </c>
      <c r="AG67" s="30" t="s">
        <v>4</v>
      </c>
      <c r="AH67" s="32" t="s">
        <v>726</v>
      </c>
      <c r="AI67" s="32" t="s">
        <v>709</v>
      </c>
      <c r="AJ67" s="32" t="s">
        <v>842</v>
      </c>
      <c r="AK67" s="32" t="s">
        <v>628</v>
      </c>
      <c r="AL67" s="32"/>
      <c r="AM67" s="32" t="s">
        <v>714</v>
      </c>
      <c r="AN67" s="32"/>
      <c r="AO67" s="32" t="s">
        <v>733</v>
      </c>
      <c r="AP67" s="32"/>
      <c r="AQ67" s="32" t="s">
        <v>815</v>
      </c>
      <c r="AR67" s="32"/>
      <c r="AS67" s="32" t="s">
        <v>874</v>
      </c>
      <c r="AT67" s="32"/>
      <c r="AU67" s="32"/>
      <c r="AV67" s="32"/>
      <c r="AW67" s="32"/>
      <c r="AX67" s="32"/>
      <c r="AY67" s="32"/>
      <c r="AZ67" s="32"/>
      <c r="BA67" s="32"/>
    </row>
    <row r="68" spans="1:53" s="105" customFormat="1" ht="12.75" customHeight="1" x14ac:dyDescent="0.2">
      <c r="A68" s="30">
        <v>64</v>
      </c>
      <c r="B68" s="47" t="s">
        <v>301</v>
      </c>
      <c r="C68" s="47" t="str">
        <f t="shared" si="2"/>
        <v>260187910760062</v>
      </c>
      <c r="D68" s="76">
        <v>2601879</v>
      </c>
      <c r="E68" s="76">
        <v>10760062</v>
      </c>
      <c r="F68" s="65" t="s">
        <v>81</v>
      </c>
      <c r="G68" s="65">
        <v>4339126</v>
      </c>
      <c r="H68" s="65" t="s">
        <v>44</v>
      </c>
      <c r="I68" s="65" t="s">
        <v>558</v>
      </c>
      <c r="J68" s="65" t="s">
        <v>37</v>
      </c>
      <c r="K68" s="65" t="s">
        <v>71</v>
      </c>
      <c r="L68" s="65" t="s">
        <v>3</v>
      </c>
      <c r="M68" s="47" t="s">
        <v>63</v>
      </c>
      <c r="N68" s="48">
        <v>14758.11</v>
      </c>
      <c r="O68" s="48">
        <v>19560.660000000003</v>
      </c>
      <c r="P68" s="47" t="s">
        <v>67</v>
      </c>
      <c r="Q68" s="32" t="s">
        <v>41</v>
      </c>
      <c r="R68" s="32" t="s">
        <v>64</v>
      </c>
      <c r="S68" s="47" t="s">
        <v>36</v>
      </c>
      <c r="T68" s="31" t="s">
        <v>226</v>
      </c>
      <c r="U68" s="65" t="s">
        <v>4</v>
      </c>
      <c r="V68" s="89">
        <v>19536.509999999998</v>
      </c>
      <c r="W68" s="65" t="s">
        <v>72</v>
      </c>
      <c r="X68" s="31" t="s">
        <v>227</v>
      </c>
      <c r="Y68" s="31" t="s">
        <v>151</v>
      </c>
      <c r="Z68" s="119">
        <v>11067358</v>
      </c>
      <c r="AA68" s="47" t="s">
        <v>33</v>
      </c>
      <c r="AB68" s="47" t="s">
        <v>36</v>
      </c>
      <c r="AC68" s="65"/>
      <c r="AD68" s="84" t="s">
        <v>65</v>
      </c>
      <c r="AE68" s="89">
        <v>25000</v>
      </c>
      <c r="AF68" s="65" t="s">
        <v>34</v>
      </c>
      <c r="AG68" s="76" t="s">
        <v>4</v>
      </c>
      <c r="AH68" s="47" t="s">
        <v>152</v>
      </c>
      <c r="AI68" s="47"/>
      <c r="AJ68" s="47"/>
      <c r="AK68" s="120" t="s">
        <v>78</v>
      </c>
      <c r="AL68" s="65"/>
      <c r="AM68" s="65" t="s">
        <v>167</v>
      </c>
      <c r="AN68" s="65"/>
      <c r="AO68" s="65" t="s">
        <v>82</v>
      </c>
      <c r="AP68" s="65"/>
      <c r="AQ68" s="65" t="s">
        <v>83</v>
      </c>
      <c r="AR68" s="65"/>
      <c r="AS68" s="65" t="s">
        <v>125</v>
      </c>
      <c r="AT68" s="65" t="s">
        <v>177</v>
      </c>
      <c r="AU68" s="65" t="s">
        <v>215</v>
      </c>
      <c r="AV68" s="65"/>
      <c r="AW68" s="65"/>
      <c r="AX68" s="65"/>
      <c r="AY68" s="65"/>
      <c r="AZ68" s="47" t="s">
        <v>683</v>
      </c>
      <c r="BA68" s="65" t="s">
        <v>557</v>
      </c>
    </row>
    <row r="69" spans="1:53" s="105" customFormat="1" ht="12" customHeight="1" x14ac:dyDescent="0.2">
      <c r="A69" s="30">
        <v>65</v>
      </c>
      <c r="B69" s="32" t="s">
        <v>301</v>
      </c>
      <c r="C69" s="32" t="str">
        <f t="shared" si="2"/>
        <v>260187910760062</v>
      </c>
      <c r="D69" s="30">
        <v>2601879</v>
      </c>
      <c r="E69" s="30">
        <v>10760062</v>
      </c>
      <c r="F69" s="31" t="s">
        <v>81</v>
      </c>
      <c r="G69" s="31">
        <v>4339126</v>
      </c>
      <c r="H69" s="31" t="s">
        <v>44</v>
      </c>
      <c r="I69" s="31" t="s">
        <v>400</v>
      </c>
      <c r="J69" s="31" t="s">
        <v>37</v>
      </c>
      <c r="K69" s="31" t="s">
        <v>71</v>
      </c>
      <c r="L69" s="31" t="s">
        <v>3</v>
      </c>
      <c r="M69" s="32" t="s">
        <v>63</v>
      </c>
      <c r="N69" s="39">
        <v>14758.11</v>
      </c>
      <c r="O69" s="39">
        <v>19560.660000000003</v>
      </c>
      <c r="P69" s="32" t="s">
        <v>296</v>
      </c>
      <c r="Q69" s="32" t="s">
        <v>483</v>
      </c>
      <c r="R69" s="32" t="s">
        <v>64</v>
      </c>
      <c r="S69" s="32"/>
      <c r="T69" s="31" t="s">
        <v>484</v>
      </c>
      <c r="U69" s="31" t="s">
        <v>4</v>
      </c>
      <c r="V69" s="45"/>
      <c r="W69" s="31" t="s">
        <v>72</v>
      </c>
      <c r="X69" s="31" t="s">
        <v>310</v>
      </c>
      <c r="Y69" s="31"/>
      <c r="Z69" s="69"/>
      <c r="AA69" s="32"/>
      <c r="AB69" s="32"/>
      <c r="AC69" s="65"/>
      <c r="AD69" s="43"/>
      <c r="AE69" s="45"/>
      <c r="AF69" s="31"/>
      <c r="AG69" s="30"/>
      <c r="AH69" s="32"/>
      <c r="AI69" s="32"/>
      <c r="AJ69" s="32"/>
      <c r="AK69" s="75"/>
      <c r="AL69" s="31"/>
      <c r="AM69" s="31"/>
      <c r="AN69" s="31"/>
      <c r="AO69" s="31"/>
      <c r="AP69" s="31"/>
      <c r="AQ69" s="65"/>
      <c r="AR69" s="31"/>
      <c r="AS69" s="65"/>
      <c r="AT69" s="31"/>
      <c r="AU69" s="31"/>
      <c r="AV69" s="31"/>
      <c r="AW69" s="31"/>
      <c r="AX69" s="31"/>
      <c r="AY69" s="31"/>
      <c r="AZ69" s="32" t="s">
        <v>310</v>
      </c>
      <c r="BA69" s="31" t="s">
        <v>555</v>
      </c>
    </row>
    <row r="70" spans="1:53" s="105" customFormat="1" ht="15.75" customHeight="1" x14ac:dyDescent="0.2">
      <c r="A70" s="30">
        <v>66</v>
      </c>
      <c r="B70" s="32" t="s">
        <v>301</v>
      </c>
      <c r="C70" s="32" t="str">
        <f t="shared" si="2"/>
        <v>355405913480563</v>
      </c>
      <c r="D70" s="30">
        <v>3554059</v>
      </c>
      <c r="E70" s="30">
        <v>13480563</v>
      </c>
      <c r="F70" s="31" t="s">
        <v>115</v>
      </c>
      <c r="G70" s="31">
        <v>7076816</v>
      </c>
      <c r="H70" s="32" t="s">
        <v>44</v>
      </c>
      <c r="I70" s="32" t="s">
        <v>107</v>
      </c>
      <c r="J70" s="32" t="s">
        <v>5</v>
      </c>
      <c r="K70" s="32" t="s">
        <v>62</v>
      </c>
      <c r="L70" s="32" t="s">
        <v>3</v>
      </c>
      <c r="M70" s="32" t="s">
        <v>63</v>
      </c>
      <c r="N70" s="39">
        <v>28294.31</v>
      </c>
      <c r="O70" s="39">
        <v>30138.47</v>
      </c>
      <c r="P70" s="32" t="s">
        <v>126</v>
      </c>
      <c r="Q70" s="32" t="s">
        <v>32</v>
      </c>
      <c r="R70" s="32" t="s">
        <v>64</v>
      </c>
      <c r="S70" s="32" t="s">
        <v>36</v>
      </c>
      <c r="T70" s="42" t="s">
        <v>856</v>
      </c>
      <c r="U70" s="31" t="s">
        <v>4</v>
      </c>
      <c r="V70" s="45">
        <v>62691.14</v>
      </c>
      <c r="W70" s="32" t="s">
        <v>154</v>
      </c>
      <c r="X70" s="67" t="s">
        <v>116</v>
      </c>
      <c r="Y70" s="32" t="s">
        <v>719</v>
      </c>
      <c r="Z70" s="67" t="s">
        <v>720</v>
      </c>
      <c r="AA70" s="32" t="s">
        <v>33</v>
      </c>
      <c r="AB70" s="32" t="s">
        <v>36</v>
      </c>
      <c r="AC70" s="47"/>
      <c r="AD70" s="32" t="s">
        <v>65</v>
      </c>
      <c r="AE70" s="45">
        <v>50000</v>
      </c>
      <c r="AF70" s="31" t="s">
        <v>34</v>
      </c>
      <c r="AG70" s="30" t="s">
        <v>4</v>
      </c>
      <c r="AH70" s="32" t="s">
        <v>721</v>
      </c>
      <c r="AI70" s="32" t="s">
        <v>722</v>
      </c>
      <c r="AJ70" s="32" t="s">
        <v>723</v>
      </c>
      <c r="AK70" s="44" t="s">
        <v>724</v>
      </c>
      <c r="AL70" s="32"/>
      <c r="AM70" s="32" t="s">
        <v>725</v>
      </c>
      <c r="AN70" s="32"/>
      <c r="AO70" s="32" t="s">
        <v>193</v>
      </c>
      <c r="AP70" s="32"/>
      <c r="AQ70" s="47" t="s">
        <v>166</v>
      </c>
      <c r="AR70" s="32"/>
      <c r="AS70" s="32" t="s">
        <v>194</v>
      </c>
      <c r="AT70" s="32"/>
      <c r="AU70" s="32"/>
      <c r="AV70" s="32"/>
      <c r="AW70" s="32"/>
      <c r="AX70" s="32"/>
      <c r="AY70" s="32"/>
      <c r="AZ70" s="32" t="s">
        <v>652</v>
      </c>
      <c r="BA70" s="32" t="s">
        <v>653</v>
      </c>
    </row>
    <row r="71" spans="1:53" s="105" customFormat="1" ht="24" x14ac:dyDescent="0.2">
      <c r="A71" s="30">
        <v>67</v>
      </c>
      <c r="B71" s="47" t="s">
        <v>301</v>
      </c>
      <c r="C71" s="47" t="str">
        <f t="shared" si="2"/>
        <v>355405913870150</v>
      </c>
      <c r="D71" s="76">
        <v>3554059</v>
      </c>
      <c r="E71" s="76">
        <v>13870150</v>
      </c>
      <c r="F71" s="65" t="s">
        <v>115</v>
      </c>
      <c r="G71" s="65">
        <v>7076816</v>
      </c>
      <c r="H71" s="32" t="s">
        <v>44</v>
      </c>
      <c r="I71" s="32" t="s">
        <v>107</v>
      </c>
      <c r="J71" s="47" t="s">
        <v>37</v>
      </c>
      <c r="K71" s="47" t="s">
        <v>62</v>
      </c>
      <c r="L71" s="47" t="s">
        <v>3</v>
      </c>
      <c r="M71" s="47" t="s">
        <v>63</v>
      </c>
      <c r="N71" s="39">
        <v>30269.7</v>
      </c>
      <c r="O71" s="39">
        <v>30912.5</v>
      </c>
      <c r="P71" s="47" t="s">
        <v>126</v>
      </c>
      <c r="Q71" s="32" t="s">
        <v>32</v>
      </c>
      <c r="R71" s="32" t="s">
        <v>64</v>
      </c>
      <c r="S71" s="47" t="s">
        <v>36</v>
      </c>
      <c r="T71" s="42" t="s">
        <v>856</v>
      </c>
      <c r="U71" s="65" t="s">
        <v>4</v>
      </c>
      <c r="V71" s="45">
        <v>62691.14</v>
      </c>
      <c r="W71" s="32" t="s">
        <v>154</v>
      </c>
      <c r="X71" s="67" t="s">
        <v>116</v>
      </c>
      <c r="Y71" s="47" t="s">
        <v>719</v>
      </c>
      <c r="Z71" s="67" t="s">
        <v>720</v>
      </c>
      <c r="AA71" s="47" t="s">
        <v>33</v>
      </c>
      <c r="AB71" s="32" t="s">
        <v>36</v>
      </c>
      <c r="AC71" s="47"/>
      <c r="AD71" s="47" t="s">
        <v>65</v>
      </c>
      <c r="AE71" s="89">
        <v>50000</v>
      </c>
      <c r="AF71" s="78" t="s">
        <v>34</v>
      </c>
      <c r="AG71" s="76" t="s">
        <v>4</v>
      </c>
      <c r="AH71" s="47" t="s">
        <v>721</v>
      </c>
      <c r="AI71" s="47" t="s">
        <v>722</v>
      </c>
      <c r="AJ71" s="47" t="s">
        <v>723</v>
      </c>
      <c r="AK71" s="79" t="s">
        <v>724</v>
      </c>
      <c r="AL71" s="47"/>
      <c r="AM71" s="47" t="s">
        <v>725</v>
      </c>
      <c r="AN71" s="47"/>
      <c r="AO71" s="47" t="s">
        <v>193</v>
      </c>
      <c r="AP71" s="47"/>
      <c r="AQ71" s="47" t="s">
        <v>166</v>
      </c>
      <c r="AR71" s="47"/>
      <c r="AS71" s="47" t="s">
        <v>194</v>
      </c>
      <c r="AT71" s="47"/>
      <c r="AU71" s="47"/>
      <c r="AV71" s="47"/>
      <c r="AW71" s="47"/>
      <c r="AX71" s="47"/>
      <c r="AY71" s="47" t="s">
        <v>310</v>
      </c>
      <c r="AZ71" s="47" t="s">
        <v>652</v>
      </c>
      <c r="BA71" s="47" t="s">
        <v>653</v>
      </c>
    </row>
    <row r="72" spans="1:53" s="105" customFormat="1" ht="14.25" customHeight="1" x14ac:dyDescent="0.2">
      <c r="A72" s="30">
        <v>68</v>
      </c>
      <c r="B72" s="32" t="s">
        <v>301</v>
      </c>
      <c r="C72" s="32" t="str">
        <f t="shared" si="2"/>
        <v>355405913870150</v>
      </c>
      <c r="D72" s="30">
        <v>3554059</v>
      </c>
      <c r="E72" s="30">
        <v>13870150</v>
      </c>
      <c r="F72" s="31" t="s">
        <v>115</v>
      </c>
      <c r="G72" s="65">
        <v>7076816</v>
      </c>
      <c r="H72" s="32" t="s">
        <v>44</v>
      </c>
      <c r="I72" s="32" t="s">
        <v>105</v>
      </c>
      <c r="J72" s="32" t="s">
        <v>37</v>
      </c>
      <c r="K72" s="32" t="s">
        <v>62</v>
      </c>
      <c r="L72" s="32" t="s">
        <v>3</v>
      </c>
      <c r="M72" s="47" t="s">
        <v>63</v>
      </c>
      <c r="N72" s="39"/>
      <c r="O72" s="39"/>
      <c r="P72" s="32" t="s">
        <v>47</v>
      </c>
      <c r="Q72" s="32" t="s">
        <v>32</v>
      </c>
      <c r="R72" s="47" t="s">
        <v>64</v>
      </c>
      <c r="S72" s="47" t="s">
        <v>36</v>
      </c>
      <c r="T72" s="42" t="s">
        <v>143</v>
      </c>
      <c r="U72" s="31" t="s">
        <v>4</v>
      </c>
      <c r="V72" s="45">
        <v>62691.14</v>
      </c>
      <c r="W72" s="32" t="s">
        <v>192</v>
      </c>
      <c r="X72" s="67" t="s">
        <v>142</v>
      </c>
      <c r="Y72" s="32" t="s">
        <v>135</v>
      </c>
      <c r="Z72" s="69" t="s">
        <v>136</v>
      </c>
      <c r="AA72" s="32" t="s">
        <v>33</v>
      </c>
      <c r="AB72" s="32" t="s">
        <v>36</v>
      </c>
      <c r="AC72" s="32"/>
      <c r="AD72" s="43" t="s">
        <v>65</v>
      </c>
      <c r="AE72" s="89">
        <v>49000</v>
      </c>
      <c r="AF72" s="80" t="s">
        <v>34</v>
      </c>
      <c r="AG72" s="30" t="s">
        <v>4</v>
      </c>
      <c r="AH72" s="32" t="s">
        <v>144</v>
      </c>
      <c r="AI72" s="32"/>
      <c r="AJ72" s="32"/>
      <c r="AK72" s="44" t="s">
        <v>132</v>
      </c>
      <c r="AL72" s="32"/>
      <c r="AM72" s="32" t="s">
        <v>137</v>
      </c>
      <c r="AN72" s="43" t="s">
        <v>153</v>
      </c>
      <c r="AO72" s="32" t="s">
        <v>138</v>
      </c>
      <c r="AP72" s="32"/>
      <c r="AQ72" s="32" t="s">
        <v>139</v>
      </c>
      <c r="AR72" s="32"/>
      <c r="AS72" s="32" t="s">
        <v>178</v>
      </c>
      <c r="AT72" s="32" t="s">
        <v>243</v>
      </c>
      <c r="AU72" s="32"/>
      <c r="AV72" s="32"/>
      <c r="AW72" s="32"/>
      <c r="AX72" s="32"/>
      <c r="AY72" s="32"/>
      <c r="AZ72" s="32"/>
      <c r="BA72" s="32" t="s">
        <v>247</v>
      </c>
    </row>
    <row r="73" spans="1:53" s="105" customFormat="1" ht="16.5" customHeight="1" x14ac:dyDescent="0.2">
      <c r="A73" s="30">
        <v>69</v>
      </c>
      <c r="B73" s="32" t="s">
        <v>421</v>
      </c>
      <c r="C73" s="32" t="str">
        <f t="shared" si="2"/>
        <v>423740216680909</v>
      </c>
      <c r="D73" s="30">
        <v>4237402</v>
      </c>
      <c r="E73" s="30">
        <v>16680909</v>
      </c>
      <c r="F73" s="31" t="s">
        <v>771</v>
      </c>
      <c r="G73" s="65">
        <v>4341443</v>
      </c>
      <c r="H73" s="31" t="s">
        <v>44</v>
      </c>
      <c r="I73" s="32"/>
      <c r="J73" s="32" t="s">
        <v>5</v>
      </c>
      <c r="K73" s="32" t="s">
        <v>71</v>
      </c>
      <c r="L73" s="32" t="s">
        <v>3</v>
      </c>
      <c r="M73" s="47" t="s">
        <v>63</v>
      </c>
      <c r="N73" s="48">
        <v>16571.240000000002</v>
      </c>
      <c r="O73" s="48">
        <v>21183.34</v>
      </c>
      <c r="P73" s="32" t="s">
        <v>126</v>
      </c>
      <c r="Q73" s="32" t="s">
        <v>41</v>
      </c>
      <c r="R73" s="32" t="s">
        <v>64</v>
      </c>
      <c r="S73" s="32" t="s">
        <v>40</v>
      </c>
      <c r="T73" s="67" t="s">
        <v>884</v>
      </c>
      <c r="U73" s="31" t="s">
        <v>4</v>
      </c>
      <c r="V73" s="106">
        <v>20744.060000000001</v>
      </c>
      <c r="W73" s="47" t="s">
        <v>72</v>
      </c>
      <c r="X73" s="67" t="s">
        <v>798</v>
      </c>
      <c r="Y73" s="32" t="s">
        <v>776</v>
      </c>
      <c r="Z73" s="53">
        <v>11081506</v>
      </c>
      <c r="AA73" s="53" t="s">
        <v>33</v>
      </c>
      <c r="AB73" s="53" t="s">
        <v>459</v>
      </c>
      <c r="AC73" s="53" t="s">
        <v>40</v>
      </c>
      <c r="AD73" s="53" t="s">
        <v>65</v>
      </c>
      <c r="AE73" s="45">
        <v>21000</v>
      </c>
      <c r="AF73" s="91" t="s">
        <v>34</v>
      </c>
      <c r="AG73" s="30" t="s">
        <v>44</v>
      </c>
      <c r="AH73" s="32"/>
      <c r="AI73" s="32"/>
      <c r="AJ73" s="32"/>
      <c r="AK73" s="44" t="s">
        <v>801</v>
      </c>
      <c r="AL73" s="32" t="s">
        <v>310</v>
      </c>
      <c r="AM73" s="32"/>
      <c r="AN73" s="32"/>
      <c r="AO73" s="47"/>
      <c r="AP73" s="32"/>
      <c r="AQ73" s="32" t="s">
        <v>874</v>
      </c>
      <c r="AR73" s="32"/>
      <c r="AS73" s="32"/>
      <c r="AT73" s="32"/>
      <c r="AU73" s="32"/>
      <c r="AV73" s="32"/>
      <c r="AW73" s="32"/>
      <c r="AX73" s="32"/>
      <c r="AY73" s="32"/>
      <c r="AZ73" s="32"/>
      <c r="BA73" s="32"/>
    </row>
    <row r="74" spans="1:53" s="105" customFormat="1" ht="15" customHeight="1" x14ac:dyDescent="0.2">
      <c r="A74" s="30">
        <v>70</v>
      </c>
      <c r="B74" s="32" t="s">
        <v>421</v>
      </c>
      <c r="C74" s="32" t="str">
        <f t="shared" si="2"/>
        <v>476068320366176</v>
      </c>
      <c r="D74" s="30">
        <v>4760683</v>
      </c>
      <c r="E74" s="30">
        <v>20366176</v>
      </c>
      <c r="F74" s="97" t="s">
        <v>898</v>
      </c>
      <c r="G74" s="65">
        <v>73359570</v>
      </c>
      <c r="H74" s="31" t="s">
        <v>44</v>
      </c>
      <c r="I74" s="32"/>
      <c r="J74" s="32" t="s">
        <v>5</v>
      </c>
      <c r="K74" s="32" t="s">
        <v>84</v>
      </c>
      <c r="L74" s="32" t="s">
        <v>3</v>
      </c>
      <c r="M74" s="47" t="s">
        <v>63</v>
      </c>
      <c r="N74" s="47"/>
      <c r="O74" s="47"/>
      <c r="P74" s="32" t="s">
        <v>126</v>
      </c>
      <c r="Q74" s="32" t="s">
        <v>351</v>
      </c>
      <c r="R74" s="32" t="s">
        <v>64</v>
      </c>
      <c r="S74" s="32" t="s">
        <v>36</v>
      </c>
      <c r="T74" s="68"/>
      <c r="U74" s="32"/>
      <c r="V74" s="32"/>
      <c r="W74" s="47" t="s">
        <v>899</v>
      </c>
      <c r="X74" s="47" t="s">
        <v>900</v>
      </c>
      <c r="Y74" s="32"/>
      <c r="Z74" s="67"/>
      <c r="AA74" s="32"/>
      <c r="AB74" s="32"/>
      <c r="AC74" s="32"/>
      <c r="AD74" s="32"/>
      <c r="AE74" s="47"/>
      <c r="AF74" s="31"/>
      <c r="AG74" s="30"/>
      <c r="AH74" s="32"/>
      <c r="AI74" s="32"/>
      <c r="AJ74" s="32"/>
      <c r="AK74" s="32"/>
      <c r="AL74" s="32"/>
      <c r="AM74" s="32"/>
      <c r="AN74" s="32"/>
      <c r="AO74" s="47"/>
      <c r="AP74" s="32"/>
      <c r="AQ74" s="32"/>
      <c r="AR74" s="32"/>
      <c r="AS74" s="32"/>
      <c r="AT74" s="32"/>
      <c r="AU74" s="32"/>
      <c r="AV74" s="32"/>
      <c r="AW74" s="32"/>
      <c r="AX74" s="32"/>
      <c r="AY74" s="32"/>
      <c r="AZ74" s="32"/>
      <c r="BA74" s="32"/>
    </row>
    <row r="75" spans="1:53" s="105" customFormat="1" ht="13.5" customHeight="1" x14ac:dyDescent="0.2">
      <c r="A75" s="30">
        <v>71</v>
      </c>
      <c r="B75" s="32" t="s">
        <v>301</v>
      </c>
      <c r="C75" s="32" t="str">
        <f t="shared" si="2"/>
        <v>28417957426125</v>
      </c>
      <c r="D75" s="30">
        <v>2841795</v>
      </c>
      <c r="E75" s="30">
        <v>7426125</v>
      </c>
      <c r="F75" s="31" t="s">
        <v>117</v>
      </c>
      <c r="G75" s="65">
        <v>42965324</v>
      </c>
      <c r="H75" s="32" t="s">
        <v>44</v>
      </c>
      <c r="I75" s="32" t="s">
        <v>879</v>
      </c>
      <c r="J75" s="32" t="s">
        <v>37</v>
      </c>
      <c r="K75" s="32" t="s">
        <v>84</v>
      </c>
      <c r="L75" s="32" t="s">
        <v>3</v>
      </c>
      <c r="M75" s="47" t="s">
        <v>63</v>
      </c>
      <c r="N75" s="48">
        <v>6676.47</v>
      </c>
      <c r="O75" s="48">
        <v>7858.12</v>
      </c>
      <c r="P75" s="32" t="s">
        <v>126</v>
      </c>
      <c r="Q75" s="32" t="s">
        <v>41</v>
      </c>
      <c r="R75" s="32" t="s">
        <v>64</v>
      </c>
      <c r="S75" s="32" t="s">
        <v>36</v>
      </c>
      <c r="T75" s="42" t="s">
        <v>118</v>
      </c>
      <c r="U75" s="31" t="s">
        <v>4</v>
      </c>
      <c r="V75" s="45">
        <v>7457.97</v>
      </c>
      <c r="W75" s="47" t="s">
        <v>119</v>
      </c>
      <c r="X75" s="117" t="s">
        <v>120</v>
      </c>
      <c r="Y75" s="32" t="s">
        <v>121</v>
      </c>
      <c r="Z75" s="58" t="s">
        <v>416</v>
      </c>
      <c r="AA75" s="32" t="s">
        <v>33</v>
      </c>
      <c r="AB75" s="32" t="s">
        <v>35</v>
      </c>
      <c r="AC75" s="32" t="s">
        <v>122</v>
      </c>
      <c r="AD75" s="43" t="s">
        <v>65</v>
      </c>
      <c r="AE75" s="45">
        <v>9000</v>
      </c>
      <c r="AF75" s="30" t="s">
        <v>34</v>
      </c>
      <c r="AG75" s="30" t="s">
        <v>4</v>
      </c>
      <c r="AH75" s="68" t="s">
        <v>108</v>
      </c>
      <c r="AI75" s="32"/>
      <c r="AJ75" s="32"/>
      <c r="AK75" s="44" t="s">
        <v>114</v>
      </c>
      <c r="AL75" s="32"/>
      <c r="AM75" s="32" t="s">
        <v>110</v>
      </c>
      <c r="AN75" s="32"/>
      <c r="AO75" s="47" t="s">
        <v>123</v>
      </c>
      <c r="AP75" s="32"/>
      <c r="AQ75" s="32" t="s">
        <v>104</v>
      </c>
      <c r="AR75" s="32"/>
      <c r="AS75" s="32" t="s">
        <v>130</v>
      </c>
      <c r="AT75" s="32" t="s">
        <v>214</v>
      </c>
      <c r="AU75" s="32" t="s">
        <v>236</v>
      </c>
      <c r="AV75" s="32" t="s">
        <v>309</v>
      </c>
      <c r="AW75" s="32"/>
      <c r="AX75" s="32"/>
      <c r="AY75" s="32"/>
      <c r="AZ75" s="32" t="s">
        <v>542</v>
      </c>
      <c r="BA75" s="32" t="s">
        <v>564</v>
      </c>
    </row>
    <row r="76" spans="1:53" s="68" customFormat="1" ht="13.5" customHeight="1" x14ac:dyDescent="0.2">
      <c r="A76" s="30">
        <v>72</v>
      </c>
      <c r="B76" s="32" t="s">
        <v>301</v>
      </c>
      <c r="C76" s="32" t="str">
        <f t="shared" si="2"/>
        <v>28417959299830</v>
      </c>
      <c r="D76" s="30">
        <v>2841795</v>
      </c>
      <c r="E76" s="30">
        <v>9299830</v>
      </c>
      <c r="F76" s="31" t="s">
        <v>117</v>
      </c>
      <c r="G76" s="31">
        <v>42965324</v>
      </c>
      <c r="H76" s="32" t="s">
        <v>44</v>
      </c>
      <c r="I76" s="32" t="s">
        <v>235</v>
      </c>
      <c r="J76" s="32" t="s">
        <v>37</v>
      </c>
      <c r="K76" s="32" t="s">
        <v>84</v>
      </c>
      <c r="L76" s="32" t="s">
        <v>3</v>
      </c>
      <c r="M76" s="32" t="s">
        <v>63</v>
      </c>
      <c r="N76" s="39">
        <v>8848</v>
      </c>
      <c r="O76" s="39">
        <v>9789.36</v>
      </c>
      <c r="P76" s="32" t="s">
        <v>126</v>
      </c>
      <c r="Q76" s="32" t="s">
        <v>41</v>
      </c>
      <c r="R76" s="32" t="s">
        <v>64</v>
      </c>
      <c r="S76" s="32" t="s">
        <v>35</v>
      </c>
      <c r="T76" s="42" t="s">
        <v>278</v>
      </c>
      <c r="U76" s="31" t="s">
        <v>4</v>
      </c>
      <c r="V76" s="45">
        <v>11645.41</v>
      </c>
      <c r="W76" s="32" t="s">
        <v>279</v>
      </c>
      <c r="X76" s="42" t="s">
        <v>375</v>
      </c>
      <c r="Y76" s="32" t="s">
        <v>376</v>
      </c>
      <c r="Z76" s="58" t="s">
        <v>416</v>
      </c>
      <c r="AA76" s="32" t="s">
        <v>40</v>
      </c>
      <c r="AB76" s="32" t="s">
        <v>35</v>
      </c>
      <c r="AC76" s="32" t="s">
        <v>122</v>
      </c>
      <c r="AD76" s="43" t="s">
        <v>65</v>
      </c>
      <c r="AE76" s="45">
        <v>12000</v>
      </c>
      <c r="AF76" s="30" t="s">
        <v>34</v>
      </c>
      <c r="AG76" s="30" t="s">
        <v>4</v>
      </c>
      <c r="AH76" s="32" t="s">
        <v>415</v>
      </c>
      <c r="AI76" s="32"/>
      <c r="AJ76" s="32"/>
      <c r="AK76" s="44" t="s">
        <v>377</v>
      </c>
      <c r="AL76" s="32"/>
      <c r="AM76" s="32" t="s">
        <v>403</v>
      </c>
      <c r="AN76" s="32"/>
      <c r="AO76" s="32" t="s">
        <v>304</v>
      </c>
      <c r="AP76" s="32"/>
      <c r="AQ76" s="32" t="s">
        <v>241</v>
      </c>
      <c r="AR76" s="32"/>
      <c r="AS76" s="32" t="s">
        <v>297</v>
      </c>
      <c r="AT76" s="32" t="s">
        <v>366</v>
      </c>
      <c r="AU76" s="32"/>
      <c r="AV76" s="32"/>
      <c r="AW76" s="32"/>
      <c r="AX76" s="32"/>
      <c r="AY76" s="32"/>
      <c r="AZ76" s="32" t="s">
        <v>418</v>
      </c>
      <c r="BA76" s="32" t="s">
        <v>419</v>
      </c>
    </row>
    <row r="77" spans="1:53" s="68" customFormat="1" ht="15" customHeight="1" x14ac:dyDescent="0.2">
      <c r="A77" s="30">
        <v>73</v>
      </c>
      <c r="B77" s="32" t="s">
        <v>421</v>
      </c>
      <c r="C77" s="32" t="str">
        <f t="shared" si="2"/>
        <v>222401117611884</v>
      </c>
      <c r="D77" s="30">
        <v>2224011</v>
      </c>
      <c r="E77" s="30">
        <v>17611884</v>
      </c>
      <c r="F77" s="31" t="s">
        <v>617</v>
      </c>
      <c r="G77" s="31">
        <v>47329800</v>
      </c>
      <c r="H77" s="31" t="s">
        <v>44</v>
      </c>
      <c r="I77" s="32" t="s">
        <v>310</v>
      </c>
      <c r="J77" s="32" t="s">
        <v>37</v>
      </c>
      <c r="K77" s="32" t="s">
        <v>62</v>
      </c>
      <c r="L77" s="32" t="s">
        <v>3</v>
      </c>
      <c r="M77" s="32" t="s">
        <v>63</v>
      </c>
      <c r="N77" s="39">
        <v>18529.759999999998</v>
      </c>
      <c r="O77" s="39">
        <v>24146.9</v>
      </c>
      <c r="P77" s="32" t="s">
        <v>126</v>
      </c>
      <c r="Q77" s="32" t="s">
        <v>41</v>
      </c>
      <c r="R77" s="32" t="s">
        <v>64</v>
      </c>
      <c r="S77" s="32"/>
      <c r="T77" s="32" t="s">
        <v>793</v>
      </c>
      <c r="U77" s="32" t="s">
        <v>4</v>
      </c>
      <c r="V77" s="45">
        <v>23643.01</v>
      </c>
      <c r="W77" s="32" t="s">
        <v>112</v>
      </c>
      <c r="X77" s="32" t="s">
        <v>634</v>
      </c>
      <c r="Y77" s="32" t="s">
        <v>635</v>
      </c>
      <c r="Z77" s="67" t="s">
        <v>636</v>
      </c>
      <c r="AA77" s="32" t="s">
        <v>33</v>
      </c>
      <c r="AB77" s="32" t="s">
        <v>36</v>
      </c>
      <c r="AC77" s="32" t="s">
        <v>40</v>
      </c>
      <c r="AD77" s="32" t="s">
        <v>65</v>
      </c>
      <c r="AE77" s="45">
        <v>25000</v>
      </c>
      <c r="AF77" s="80" t="s">
        <v>34</v>
      </c>
      <c r="AG77" s="30" t="s">
        <v>4</v>
      </c>
      <c r="AH77" s="32" t="s">
        <v>737</v>
      </c>
      <c r="AI77" s="32" t="s">
        <v>709</v>
      </c>
      <c r="AJ77" s="92" t="s">
        <v>738</v>
      </c>
      <c r="AK77" s="32" t="s">
        <v>628</v>
      </c>
      <c r="AL77" s="32"/>
      <c r="AM77" s="32" t="s">
        <v>714</v>
      </c>
      <c r="AN77" s="32"/>
      <c r="AO77" s="32" t="s">
        <v>739</v>
      </c>
      <c r="AP77" s="32"/>
      <c r="AQ77" s="32" t="s">
        <v>815</v>
      </c>
      <c r="AR77" s="32"/>
      <c r="AS77" s="32" t="s">
        <v>874</v>
      </c>
      <c r="AT77" s="32"/>
      <c r="AU77" s="32"/>
      <c r="AV77" s="32"/>
      <c r="AW77" s="32"/>
      <c r="AX77" s="32"/>
      <c r="AY77" s="32"/>
      <c r="AZ77" s="32"/>
      <c r="BA77" s="32"/>
    </row>
    <row r="78" spans="1:53" s="105" customFormat="1" ht="13.5" customHeight="1" x14ac:dyDescent="0.2">
      <c r="A78" s="30">
        <v>74</v>
      </c>
      <c r="B78" s="32" t="s">
        <v>301</v>
      </c>
      <c r="C78" s="32" t="str">
        <f t="shared" si="2"/>
        <v>372783614671606</v>
      </c>
      <c r="D78" s="30">
        <v>3727836</v>
      </c>
      <c r="E78" s="30">
        <v>14671606</v>
      </c>
      <c r="F78" s="31" t="s">
        <v>127</v>
      </c>
      <c r="G78" s="31" t="s">
        <v>128</v>
      </c>
      <c r="H78" s="32" t="s">
        <v>44</v>
      </c>
      <c r="I78" s="32" t="s">
        <v>310</v>
      </c>
      <c r="J78" s="32" t="s">
        <v>5</v>
      </c>
      <c r="K78" s="32" t="s">
        <v>84</v>
      </c>
      <c r="L78" s="32" t="s">
        <v>3</v>
      </c>
      <c r="M78" s="32" t="s">
        <v>63</v>
      </c>
      <c r="N78" s="39">
        <v>19135.82</v>
      </c>
      <c r="O78" s="39">
        <v>20628.169999999998</v>
      </c>
      <c r="P78" s="32" t="s">
        <v>126</v>
      </c>
      <c r="Q78" s="32" t="s">
        <v>41</v>
      </c>
      <c r="R78" s="49" t="s">
        <v>64</v>
      </c>
      <c r="S78" s="32" t="s">
        <v>36</v>
      </c>
      <c r="T78" s="32" t="s">
        <v>146</v>
      </c>
      <c r="U78" s="31" t="s">
        <v>4</v>
      </c>
      <c r="V78" s="93">
        <v>21448.19</v>
      </c>
      <c r="W78" s="32" t="s">
        <v>92</v>
      </c>
      <c r="X78" s="32" t="s">
        <v>147</v>
      </c>
      <c r="Y78" s="32" t="s">
        <v>148</v>
      </c>
      <c r="Z78" s="69" t="s">
        <v>149</v>
      </c>
      <c r="AA78" s="32" t="s">
        <v>33</v>
      </c>
      <c r="AB78" s="32" t="s">
        <v>42</v>
      </c>
      <c r="AC78" s="32" t="s">
        <v>150</v>
      </c>
      <c r="AD78" s="43" t="s">
        <v>65</v>
      </c>
      <c r="AE78" s="45">
        <v>22000</v>
      </c>
      <c r="AF78" s="80" t="s">
        <v>34</v>
      </c>
      <c r="AG78" s="30" t="s">
        <v>4</v>
      </c>
      <c r="AH78" s="32" t="s">
        <v>170</v>
      </c>
      <c r="AI78" s="32"/>
      <c r="AJ78" s="32"/>
      <c r="AK78" s="44" t="s">
        <v>145</v>
      </c>
      <c r="AL78" s="32"/>
      <c r="AM78" s="32" t="s">
        <v>168</v>
      </c>
      <c r="AN78" s="32"/>
      <c r="AO78" s="32" t="s">
        <v>165</v>
      </c>
      <c r="AP78" s="32"/>
      <c r="AQ78" s="32" t="s">
        <v>171</v>
      </c>
      <c r="AR78" s="32"/>
      <c r="AS78" s="32" t="s">
        <v>213</v>
      </c>
      <c r="AT78" s="32" t="s">
        <v>249</v>
      </c>
      <c r="AU78" s="32"/>
      <c r="AV78" s="32"/>
      <c r="AW78" s="32"/>
      <c r="AX78" s="32"/>
      <c r="AY78" s="32"/>
      <c r="AZ78" s="32" t="s">
        <v>295</v>
      </c>
      <c r="BA78" s="32" t="s">
        <v>310</v>
      </c>
    </row>
    <row r="79" spans="1:53" s="105" customFormat="1" ht="11.25" customHeight="1" x14ac:dyDescent="0.2">
      <c r="A79" s="30">
        <v>75</v>
      </c>
      <c r="B79" s="31" t="s">
        <v>301</v>
      </c>
      <c r="C79" s="32" t="str">
        <f t="shared" si="2"/>
        <v>243751915838907</v>
      </c>
      <c r="D79" s="30">
        <v>2437519</v>
      </c>
      <c r="E79" s="30">
        <v>15838907</v>
      </c>
      <c r="F79" s="31" t="s">
        <v>527</v>
      </c>
      <c r="G79" s="31">
        <v>20561434</v>
      </c>
      <c r="H79" s="32" t="s">
        <v>44</v>
      </c>
      <c r="I79" s="32" t="s">
        <v>528</v>
      </c>
      <c r="J79" s="32" t="s">
        <v>5</v>
      </c>
      <c r="K79" s="32" t="s">
        <v>62</v>
      </c>
      <c r="L79" s="32" t="s">
        <v>3</v>
      </c>
      <c r="M79" s="32" t="s">
        <v>63</v>
      </c>
      <c r="N79" s="39">
        <v>580</v>
      </c>
      <c r="O79" s="39">
        <v>1749.17</v>
      </c>
      <c r="P79" s="32" t="s">
        <v>126</v>
      </c>
      <c r="Q79" s="32" t="s">
        <v>351</v>
      </c>
      <c r="R79" s="49" t="s">
        <v>64</v>
      </c>
      <c r="S79" s="32" t="s">
        <v>40</v>
      </c>
      <c r="T79" s="32" t="s">
        <v>785</v>
      </c>
      <c r="U79" s="32" t="s">
        <v>4</v>
      </c>
      <c r="V79" s="93">
        <v>36153.01</v>
      </c>
      <c r="W79" s="32" t="s">
        <v>112</v>
      </c>
      <c r="X79" s="32" t="s">
        <v>537</v>
      </c>
      <c r="Y79" s="43" t="s">
        <v>538</v>
      </c>
      <c r="Z79" s="53" t="s">
        <v>539</v>
      </c>
      <c r="AA79" s="32" t="s">
        <v>33</v>
      </c>
      <c r="AB79" s="32" t="s">
        <v>35</v>
      </c>
      <c r="AC79" s="32" t="s">
        <v>540</v>
      </c>
      <c r="AD79" s="32" t="s">
        <v>65</v>
      </c>
      <c r="AE79" s="45">
        <v>37000</v>
      </c>
      <c r="AF79" s="80" t="s">
        <v>34</v>
      </c>
      <c r="AG79" s="30" t="s">
        <v>4</v>
      </c>
      <c r="AH79" s="32" t="s">
        <v>615</v>
      </c>
      <c r="AI79" s="32"/>
      <c r="AJ79" s="32"/>
      <c r="AK79" s="44" t="s">
        <v>536</v>
      </c>
      <c r="AL79" s="32"/>
      <c r="AM79" s="32" t="s">
        <v>605</v>
      </c>
      <c r="AN79" s="43" t="s">
        <v>541</v>
      </c>
      <c r="AO79" s="32" t="s">
        <v>672</v>
      </c>
      <c r="AP79" s="32"/>
      <c r="AQ79" s="32" t="s">
        <v>747</v>
      </c>
      <c r="AR79" s="32"/>
      <c r="AS79" s="32"/>
      <c r="AT79" s="32"/>
      <c r="AU79" s="32"/>
      <c r="AV79" s="32"/>
      <c r="AW79" s="32"/>
      <c r="AX79" s="32"/>
      <c r="AY79" s="32"/>
      <c r="AZ79" s="32"/>
      <c r="BA79" s="32"/>
    </row>
    <row r="80" spans="1:53" s="105" customFormat="1" ht="11.25" customHeight="1" x14ac:dyDescent="0.2">
      <c r="A80" s="30">
        <v>76</v>
      </c>
      <c r="B80" s="32" t="s">
        <v>301</v>
      </c>
      <c r="C80" s="32" t="str">
        <f t="shared" si="2"/>
        <v>285690314174581</v>
      </c>
      <c r="D80" s="30">
        <v>2856903</v>
      </c>
      <c r="E80" s="30">
        <v>14174581</v>
      </c>
      <c r="F80" s="31" t="s">
        <v>387</v>
      </c>
      <c r="G80" s="31">
        <v>41407730</v>
      </c>
      <c r="H80" s="32" t="s">
        <v>44</v>
      </c>
      <c r="I80" s="32"/>
      <c r="J80" s="32" t="s">
        <v>5</v>
      </c>
      <c r="K80" s="32" t="s">
        <v>62</v>
      </c>
      <c r="L80" s="32" t="s">
        <v>3</v>
      </c>
      <c r="M80" s="32" t="s">
        <v>63</v>
      </c>
      <c r="N80" s="39">
        <v>17946.71</v>
      </c>
      <c r="O80" s="39">
        <v>19706.36</v>
      </c>
      <c r="P80" s="49" t="s">
        <v>126</v>
      </c>
      <c r="Q80" s="32" t="s">
        <v>41</v>
      </c>
      <c r="R80" s="49" t="s">
        <v>64</v>
      </c>
      <c r="S80" s="32"/>
      <c r="T80" s="32" t="s">
        <v>391</v>
      </c>
      <c r="U80" s="32" t="s">
        <v>4</v>
      </c>
      <c r="V80" s="81">
        <v>20122.64</v>
      </c>
      <c r="W80" s="32" t="s">
        <v>256</v>
      </c>
      <c r="X80" s="32" t="s">
        <v>390</v>
      </c>
      <c r="Y80" s="32" t="s">
        <v>485</v>
      </c>
      <c r="Z80" s="72" t="s">
        <v>398</v>
      </c>
      <c r="AA80" s="94" t="s">
        <v>33</v>
      </c>
      <c r="AB80" s="32" t="s">
        <v>36</v>
      </c>
      <c r="AC80" s="32" t="s">
        <v>40</v>
      </c>
      <c r="AD80" s="32" t="s">
        <v>65</v>
      </c>
      <c r="AE80" s="95">
        <v>21000</v>
      </c>
      <c r="AF80" s="80" t="s">
        <v>34</v>
      </c>
      <c r="AG80" s="30" t="s">
        <v>4</v>
      </c>
      <c r="AH80" s="32" t="s">
        <v>486</v>
      </c>
      <c r="AI80" s="32"/>
      <c r="AJ80" s="32"/>
      <c r="AK80" s="32" t="s">
        <v>392</v>
      </c>
      <c r="AL80" s="32" t="s">
        <v>420</v>
      </c>
      <c r="AM80" s="32" t="s">
        <v>425</v>
      </c>
      <c r="AN80" s="32"/>
      <c r="AO80" s="32" t="s">
        <v>523</v>
      </c>
      <c r="AP80" s="32"/>
      <c r="AQ80" s="32" t="s">
        <v>536</v>
      </c>
      <c r="AR80" s="32"/>
      <c r="AS80" s="32" t="s">
        <v>648</v>
      </c>
      <c r="AT80" s="32"/>
      <c r="AU80" s="32"/>
      <c r="AV80" s="32"/>
      <c r="AW80" s="32"/>
      <c r="AX80" s="32"/>
      <c r="AY80" s="32"/>
      <c r="AZ80" s="32" t="s">
        <v>752</v>
      </c>
      <c r="BA80" s="32" t="s">
        <v>753</v>
      </c>
    </row>
    <row r="81" spans="1:53" s="105" customFormat="1" ht="12" x14ac:dyDescent="0.2">
      <c r="A81" s="30">
        <v>77</v>
      </c>
      <c r="B81" s="32" t="s">
        <v>421</v>
      </c>
      <c r="C81" s="32" t="str">
        <f t="shared" si="2"/>
        <v>197120614496679</v>
      </c>
      <c r="D81" s="30">
        <v>1971206</v>
      </c>
      <c r="E81" s="30">
        <v>14496679</v>
      </c>
      <c r="F81" s="31" t="s">
        <v>732</v>
      </c>
      <c r="G81" s="31">
        <v>40213326</v>
      </c>
      <c r="H81" s="31" t="s">
        <v>44</v>
      </c>
      <c r="I81" s="32"/>
      <c r="J81" s="32" t="s">
        <v>37</v>
      </c>
      <c r="K81" s="32" t="s">
        <v>62</v>
      </c>
      <c r="L81" s="32" t="s">
        <v>3</v>
      </c>
      <c r="M81" s="32" t="s">
        <v>63</v>
      </c>
      <c r="N81" s="39">
        <v>10728.43</v>
      </c>
      <c r="O81" s="39">
        <v>13040.95</v>
      </c>
      <c r="P81" s="49" t="s">
        <v>126</v>
      </c>
      <c r="Q81" s="32" t="s">
        <v>41</v>
      </c>
      <c r="R81" s="49" t="s">
        <v>64</v>
      </c>
      <c r="S81" s="32"/>
      <c r="T81" s="32" t="s">
        <v>626</v>
      </c>
      <c r="U81" s="32" t="s">
        <v>4</v>
      </c>
      <c r="V81" s="45">
        <v>43968.18</v>
      </c>
      <c r="W81" s="32" t="s">
        <v>112</v>
      </c>
      <c r="X81" s="32" t="s">
        <v>624</v>
      </c>
      <c r="Y81" s="32" t="s">
        <v>625</v>
      </c>
      <c r="Z81" s="72">
        <v>11067864</v>
      </c>
      <c r="AA81" s="94" t="s">
        <v>33</v>
      </c>
      <c r="AB81" s="32" t="s">
        <v>42</v>
      </c>
      <c r="AC81" s="32" t="s">
        <v>627</v>
      </c>
      <c r="AD81" s="32" t="s">
        <v>65</v>
      </c>
      <c r="AE81" s="95">
        <v>45000</v>
      </c>
      <c r="AF81" s="80" t="s">
        <v>34</v>
      </c>
      <c r="AG81" s="30" t="s">
        <v>4</v>
      </c>
      <c r="AH81" s="32" t="s">
        <v>733</v>
      </c>
      <c r="AI81" s="32" t="s">
        <v>709</v>
      </c>
      <c r="AJ81" s="32" t="s">
        <v>734</v>
      </c>
      <c r="AK81" s="32" t="s">
        <v>628</v>
      </c>
      <c r="AL81" s="32"/>
      <c r="AM81" s="32" t="s">
        <v>735</v>
      </c>
      <c r="AN81" s="32"/>
      <c r="AO81" s="32" t="s">
        <v>736</v>
      </c>
      <c r="AP81" s="32"/>
      <c r="AQ81" s="32" t="s">
        <v>815</v>
      </c>
      <c r="AR81" s="32"/>
      <c r="AS81" s="32" t="s">
        <v>874</v>
      </c>
      <c r="AT81" s="32"/>
      <c r="AU81" s="32"/>
      <c r="AV81" s="32"/>
      <c r="AW81" s="32"/>
      <c r="AX81" s="32"/>
      <c r="AY81" s="32"/>
      <c r="AZ81" s="32" t="s">
        <v>871</v>
      </c>
      <c r="BA81" s="32" t="s">
        <v>872</v>
      </c>
    </row>
    <row r="82" spans="1:53" s="105" customFormat="1" ht="12.75" customHeight="1" x14ac:dyDescent="0.2">
      <c r="A82" s="30">
        <v>78</v>
      </c>
      <c r="B82" s="32" t="s">
        <v>421</v>
      </c>
      <c r="C82" s="32" t="str">
        <f t="shared" si="2"/>
        <v>197120616489546</v>
      </c>
      <c r="D82" s="30">
        <v>1971206</v>
      </c>
      <c r="E82" s="30">
        <v>16489546</v>
      </c>
      <c r="F82" s="31" t="s">
        <v>732</v>
      </c>
      <c r="G82" s="31">
        <v>40213326</v>
      </c>
      <c r="H82" s="31" t="s">
        <v>44</v>
      </c>
      <c r="I82" s="32"/>
      <c r="J82" s="32" t="s">
        <v>37</v>
      </c>
      <c r="K82" s="32" t="s">
        <v>62</v>
      </c>
      <c r="L82" s="32" t="s">
        <v>3</v>
      </c>
      <c r="M82" s="32" t="s">
        <v>63</v>
      </c>
      <c r="N82" s="39">
        <v>23228.68</v>
      </c>
      <c r="O82" s="39">
        <v>31898.13</v>
      </c>
      <c r="P82" s="49" t="s">
        <v>126</v>
      </c>
      <c r="Q82" s="32" t="s">
        <v>41</v>
      </c>
      <c r="R82" s="49" t="s">
        <v>64</v>
      </c>
      <c r="S82" s="32"/>
      <c r="T82" s="32" t="s">
        <v>626</v>
      </c>
      <c r="U82" s="32" t="s">
        <v>4</v>
      </c>
      <c r="V82" s="45">
        <v>43968.18</v>
      </c>
      <c r="W82" s="32" t="s">
        <v>112</v>
      </c>
      <c r="X82" s="32" t="s">
        <v>624</v>
      </c>
      <c r="Y82" s="32" t="s">
        <v>625</v>
      </c>
      <c r="Z82" s="72">
        <v>11067864</v>
      </c>
      <c r="AA82" s="68" t="s">
        <v>33</v>
      </c>
      <c r="AB82" s="68" t="s">
        <v>42</v>
      </c>
      <c r="AC82" s="68" t="s">
        <v>627</v>
      </c>
      <c r="AD82" s="68" t="s">
        <v>65</v>
      </c>
      <c r="AE82" s="96">
        <v>45000</v>
      </c>
      <c r="AF82" s="80" t="s">
        <v>34</v>
      </c>
      <c r="AG82" s="30" t="s">
        <v>4</v>
      </c>
      <c r="AH82" s="32" t="s">
        <v>733</v>
      </c>
      <c r="AI82" s="32" t="s">
        <v>709</v>
      </c>
      <c r="AJ82" s="32" t="s">
        <v>734</v>
      </c>
      <c r="AK82" s="32" t="s">
        <v>628</v>
      </c>
      <c r="AL82" s="32"/>
      <c r="AM82" s="32" t="s">
        <v>735</v>
      </c>
      <c r="AN82" s="32"/>
      <c r="AO82" s="32" t="s">
        <v>736</v>
      </c>
      <c r="AP82" s="32"/>
      <c r="AQ82" s="32" t="s">
        <v>815</v>
      </c>
      <c r="AR82" s="32"/>
      <c r="AS82" s="32" t="s">
        <v>874</v>
      </c>
      <c r="AT82" s="32"/>
      <c r="AU82" s="32"/>
      <c r="AV82" s="32"/>
      <c r="AW82" s="32"/>
      <c r="AX82" s="32"/>
      <c r="AY82" s="32"/>
      <c r="AZ82" s="32"/>
      <c r="BA82" s="32"/>
    </row>
    <row r="83" spans="1:53" s="105" customFormat="1" ht="12.75" customHeight="1" x14ac:dyDescent="0.2">
      <c r="A83" s="30">
        <v>79</v>
      </c>
      <c r="B83" s="32" t="s">
        <v>421</v>
      </c>
      <c r="C83" s="32" t="str">
        <f t="shared" si="2"/>
        <v>347605118807659</v>
      </c>
      <c r="D83" s="30">
        <v>3476051</v>
      </c>
      <c r="E83" s="30">
        <v>18807659</v>
      </c>
      <c r="F83" s="31" t="s">
        <v>606</v>
      </c>
      <c r="G83" s="31">
        <v>44391549</v>
      </c>
      <c r="H83" s="31" t="s">
        <v>44</v>
      </c>
      <c r="I83" s="32"/>
      <c r="J83" s="32" t="s">
        <v>5</v>
      </c>
      <c r="K83" s="32" t="s">
        <v>84</v>
      </c>
      <c r="L83" s="32" t="s">
        <v>3</v>
      </c>
      <c r="M83" s="32" t="s">
        <v>63</v>
      </c>
      <c r="N83" s="39">
        <v>59673.19</v>
      </c>
      <c r="O83" s="39">
        <v>68462.740000000005</v>
      </c>
      <c r="P83" s="49" t="s">
        <v>126</v>
      </c>
      <c r="Q83" s="32" t="s">
        <v>393</v>
      </c>
      <c r="R83" s="49" t="s">
        <v>64</v>
      </c>
      <c r="S83" s="32"/>
      <c r="T83" s="32" t="s">
        <v>766</v>
      </c>
      <c r="U83" s="32" t="s">
        <v>4</v>
      </c>
      <c r="V83" s="86" t="s">
        <v>907</v>
      </c>
      <c r="W83" s="32" t="s">
        <v>480</v>
      </c>
      <c r="X83" s="32" t="s">
        <v>609</v>
      </c>
      <c r="Y83" s="68" t="s">
        <v>610</v>
      </c>
      <c r="Z83" s="72">
        <v>11108803</v>
      </c>
      <c r="AA83" s="32" t="s">
        <v>33</v>
      </c>
      <c r="AB83" s="32" t="s">
        <v>36</v>
      </c>
      <c r="AC83" s="32" t="s">
        <v>40</v>
      </c>
      <c r="AD83" s="32" t="s">
        <v>65</v>
      </c>
      <c r="AE83" s="95">
        <v>68000</v>
      </c>
      <c r="AF83" s="80" t="s">
        <v>34</v>
      </c>
      <c r="AG83" s="30" t="s">
        <v>4</v>
      </c>
      <c r="AH83" s="32" t="s">
        <v>652</v>
      </c>
      <c r="AI83" s="32" t="s">
        <v>645</v>
      </c>
      <c r="AJ83" s="32" t="s">
        <v>718</v>
      </c>
      <c r="AK83" s="32" t="s">
        <v>611</v>
      </c>
      <c r="AL83" s="32"/>
      <c r="AM83" s="32" t="s">
        <v>767</v>
      </c>
      <c r="AN83" s="32"/>
      <c r="AO83" s="32" t="s">
        <v>661</v>
      </c>
      <c r="AP83" s="32"/>
      <c r="AQ83" s="32" t="s">
        <v>828</v>
      </c>
      <c r="AR83" s="32"/>
      <c r="AS83" s="32" t="s">
        <v>413</v>
      </c>
      <c r="AT83" s="32"/>
      <c r="AU83" s="32"/>
      <c r="AV83" s="32"/>
      <c r="AW83" s="32"/>
      <c r="AX83" s="32"/>
      <c r="AY83" s="32"/>
      <c r="AZ83" s="32" t="s">
        <v>859</v>
      </c>
      <c r="BA83" s="32" t="s">
        <v>860</v>
      </c>
    </row>
    <row r="84" spans="1:53" s="105" customFormat="1" ht="12.75" customHeight="1" x14ac:dyDescent="0.2">
      <c r="A84" s="30">
        <v>80</v>
      </c>
      <c r="B84" s="49" t="s">
        <v>421</v>
      </c>
      <c r="C84" s="32" t="str">
        <f t="shared" si="2"/>
        <v>277758017688559</v>
      </c>
      <c r="D84" s="30">
        <v>2777580</v>
      </c>
      <c r="E84" s="30">
        <v>17688559</v>
      </c>
      <c r="F84" s="31" t="s">
        <v>805</v>
      </c>
      <c r="G84" s="31">
        <v>43908989</v>
      </c>
      <c r="H84" s="31" t="s">
        <v>44</v>
      </c>
      <c r="I84" s="32" t="s">
        <v>807</v>
      </c>
      <c r="J84" s="32" t="s">
        <v>5</v>
      </c>
      <c r="K84" s="32" t="s">
        <v>71</v>
      </c>
      <c r="L84" s="32" t="s">
        <v>3</v>
      </c>
      <c r="M84" s="32" t="s">
        <v>63</v>
      </c>
      <c r="N84" s="32">
        <v>13727.97</v>
      </c>
      <c r="O84" s="32">
        <v>14409.35</v>
      </c>
      <c r="P84" s="49" t="s">
        <v>67</v>
      </c>
      <c r="Q84" s="32" t="s">
        <v>41</v>
      </c>
      <c r="R84" s="49" t="s">
        <v>64</v>
      </c>
      <c r="S84" s="32"/>
      <c r="T84" s="32" t="s">
        <v>831</v>
      </c>
      <c r="U84" s="32" t="s">
        <v>4</v>
      </c>
      <c r="V84" s="81" t="s">
        <v>868</v>
      </c>
      <c r="W84" s="32" t="s">
        <v>72</v>
      </c>
      <c r="X84" s="32"/>
      <c r="Y84" s="68"/>
      <c r="Z84" s="72"/>
      <c r="AA84" s="32"/>
      <c r="AB84" s="32"/>
      <c r="AC84" s="32"/>
      <c r="AD84" s="32"/>
      <c r="AE84" s="49"/>
      <c r="AF84" s="80"/>
      <c r="AG84" s="30"/>
      <c r="AH84" s="32"/>
      <c r="AI84" s="32"/>
      <c r="AJ84" s="32"/>
      <c r="AK84" s="32"/>
      <c r="AL84" s="32"/>
      <c r="AM84" s="32"/>
      <c r="AN84" s="32"/>
      <c r="AO84" s="32"/>
      <c r="AP84" s="32"/>
      <c r="AQ84" s="32"/>
      <c r="AR84" s="32"/>
      <c r="AS84" s="32"/>
      <c r="AT84" s="32"/>
      <c r="AU84" s="32"/>
      <c r="AV84" s="32"/>
      <c r="AW84" s="32"/>
      <c r="AX84" s="32"/>
      <c r="AY84" s="32"/>
      <c r="AZ84" s="32"/>
      <c r="BA84" s="32"/>
    </row>
    <row r="85" spans="1:53" s="105" customFormat="1" ht="15" customHeight="1" x14ac:dyDescent="0.2">
      <c r="A85" s="30">
        <v>81</v>
      </c>
      <c r="B85" s="32" t="s">
        <v>421</v>
      </c>
      <c r="C85" s="32" t="str">
        <f t="shared" si="2"/>
        <v>277758017842736</v>
      </c>
      <c r="D85" s="30">
        <v>2777580</v>
      </c>
      <c r="E85" s="30">
        <v>17842736</v>
      </c>
      <c r="F85" s="31" t="s">
        <v>805</v>
      </c>
      <c r="G85" s="31">
        <v>43908989</v>
      </c>
      <c r="H85" s="31" t="s">
        <v>44</v>
      </c>
      <c r="I85" s="32"/>
      <c r="J85" s="32" t="s">
        <v>5</v>
      </c>
      <c r="K85" s="32" t="s">
        <v>71</v>
      </c>
      <c r="L85" s="32" t="s">
        <v>3</v>
      </c>
      <c r="M85" s="32" t="s">
        <v>63</v>
      </c>
      <c r="N85" s="32">
        <v>39066.76</v>
      </c>
      <c r="O85" s="32">
        <v>44812.4</v>
      </c>
      <c r="P85" s="32" t="s">
        <v>126</v>
      </c>
      <c r="Q85" s="32" t="s">
        <v>41</v>
      </c>
      <c r="R85" s="32" t="s">
        <v>64</v>
      </c>
      <c r="S85" s="32"/>
      <c r="T85" s="32" t="s">
        <v>830</v>
      </c>
      <c r="U85" s="32" t="s">
        <v>4</v>
      </c>
      <c r="V85" s="45">
        <v>46708.11</v>
      </c>
      <c r="W85" s="32" t="s">
        <v>72</v>
      </c>
      <c r="X85" s="32" t="s">
        <v>829</v>
      </c>
      <c r="Y85" s="32" t="s">
        <v>934</v>
      </c>
      <c r="Z85" s="67">
        <v>11108708</v>
      </c>
      <c r="AA85" s="32" t="s">
        <v>33</v>
      </c>
      <c r="AB85" s="32" t="s">
        <v>36</v>
      </c>
      <c r="AC85" s="32" t="s">
        <v>40</v>
      </c>
      <c r="AD85" s="32" t="s">
        <v>65</v>
      </c>
      <c r="AE85" s="45">
        <v>47000</v>
      </c>
      <c r="AF85" s="80" t="s">
        <v>34</v>
      </c>
      <c r="AG85" s="30" t="s">
        <v>4</v>
      </c>
      <c r="AH85" s="32" t="s">
        <v>915</v>
      </c>
      <c r="AI85" s="32" t="s">
        <v>855</v>
      </c>
      <c r="AJ85" s="32" t="s">
        <v>842</v>
      </c>
      <c r="AK85" s="32" t="s">
        <v>833</v>
      </c>
      <c r="AL85" s="32"/>
      <c r="AM85" s="32" t="s">
        <v>828</v>
      </c>
      <c r="AN85" s="32"/>
      <c r="AO85" s="32" t="s">
        <v>914</v>
      </c>
      <c r="AP85" s="32"/>
      <c r="AQ85" s="32" t="s">
        <v>926</v>
      </c>
      <c r="AR85" s="32"/>
      <c r="AS85" s="32"/>
      <c r="AT85" s="32"/>
      <c r="AU85" s="32"/>
      <c r="AV85" s="32"/>
      <c r="AW85" s="32"/>
      <c r="AX85" s="32"/>
      <c r="AY85" s="32"/>
      <c r="AZ85" s="32"/>
      <c r="BA85" s="32"/>
    </row>
    <row r="86" spans="1:53" s="105" customFormat="1" ht="13.5" customHeight="1" x14ac:dyDescent="0.2">
      <c r="A86" s="30">
        <v>82</v>
      </c>
      <c r="B86" s="32" t="s">
        <v>421</v>
      </c>
      <c r="C86" s="32" t="str">
        <f t="shared" si="2"/>
        <v>121519818862660</v>
      </c>
      <c r="D86" s="30">
        <v>1215198</v>
      </c>
      <c r="E86" s="30">
        <v>18862660</v>
      </c>
      <c r="F86" s="31" t="s">
        <v>608</v>
      </c>
      <c r="G86" s="31">
        <v>41398722</v>
      </c>
      <c r="H86" s="31" t="s">
        <v>44</v>
      </c>
      <c r="I86" s="32"/>
      <c r="J86" s="32" t="s">
        <v>37</v>
      </c>
      <c r="K86" s="32" t="s">
        <v>84</v>
      </c>
      <c r="L86" s="32" t="s">
        <v>3</v>
      </c>
      <c r="M86" s="32" t="s">
        <v>68</v>
      </c>
      <c r="N86" s="39">
        <v>43540.04</v>
      </c>
      <c r="O86" s="39">
        <v>50023.07</v>
      </c>
      <c r="P86" s="32" t="s">
        <v>67</v>
      </c>
      <c r="Q86" s="32" t="s">
        <v>41</v>
      </c>
      <c r="R86" s="32" t="s">
        <v>64</v>
      </c>
      <c r="S86" s="32" t="s">
        <v>310</v>
      </c>
      <c r="T86" s="32" t="s">
        <v>837</v>
      </c>
      <c r="U86" s="32" t="s">
        <v>44</v>
      </c>
      <c r="V86" s="86" t="s">
        <v>614</v>
      </c>
      <c r="W86" s="32" t="s">
        <v>302</v>
      </c>
      <c r="X86" s="32"/>
      <c r="Y86" s="32"/>
      <c r="Z86" s="67"/>
      <c r="AA86" s="32"/>
      <c r="AB86" s="32"/>
      <c r="AC86" s="32"/>
      <c r="AD86" s="32"/>
      <c r="AE86" s="32"/>
      <c r="AF86" s="31"/>
      <c r="AG86" s="30"/>
      <c r="AH86" s="32"/>
      <c r="AI86" s="32"/>
      <c r="AJ86" s="32"/>
      <c r="AK86" s="32"/>
      <c r="AL86" s="32"/>
      <c r="AM86" s="32"/>
      <c r="AN86" s="32"/>
      <c r="AO86" s="32" t="s">
        <v>611</v>
      </c>
      <c r="AP86" s="32"/>
      <c r="AQ86" s="32" t="s">
        <v>628</v>
      </c>
      <c r="AR86" s="32"/>
      <c r="AS86" s="32" t="s">
        <v>836</v>
      </c>
      <c r="AT86" s="32"/>
      <c r="AU86" s="32"/>
      <c r="AV86" s="32"/>
      <c r="AW86" s="32"/>
      <c r="AX86" s="32"/>
      <c r="AY86" s="32"/>
      <c r="AZ86" s="32"/>
      <c r="BA86" s="32"/>
    </row>
    <row r="87" spans="1:53" s="105" customFormat="1" ht="27" customHeight="1" x14ac:dyDescent="0.2">
      <c r="A87" s="30">
        <v>83</v>
      </c>
      <c r="B87" s="32" t="s">
        <v>421</v>
      </c>
      <c r="C87" s="32" t="str">
        <f t="shared" si="2"/>
        <v>121519818862660</v>
      </c>
      <c r="D87" s="30">
        <v>1215198</v>
      </c>
      <c r="E87" s="30">
        <v>18862660</v>
      </c>
      <c r="F87" s="31" t="s">
        <v>608</v>
      </c>
      <c r="G87" s="31">
        <v>41398722</v>
      </c>
      <c r="H87" s="31" t="s">
        <v>44</v>
      </c>
      <c r="I87" s="32"/>
      <c r="J87" s="32" t="s">
        <v>37</v>
      </c>
      <c r="K87" s="32" t="s">
        <v>84</v>
      </c>
      <c r="L87" s="32" t="s">
        <v>3</v>
      </c>
      <c r="M87" s="32" t="s">
        <v>68</v>
      </c>
      <c r="N87" s="39">
        <v>43540.04</v>
      </c>
      <c r="O87" s="39">
        <v>50023.07</v>
      </c>
      <c r="P87" s="32" t="s">
        <v>47</v>
      </c>
      <c r="Q87" s="32" t="s">
        <v>619</v>
      </c>
      <c r="R87" s="32" t="s">
        <v>64</v>
      </c>
      <c r="S87" s="32" t="s">
        <v>40</v>
      </c>
      <c r="T87" s="32" t="s">
        <v>620</v>
      </c>
      <c r="U87" s="32" t="s">
        <v>4</v>
      </c>
      <c r="V87" s="86">
        <v>139395.4</v>
      </c>
      <c r="W87" s="32" t="s">
        <v>480</v>
      </c>
      <c r="X87" s="32" t="s">
        <v>789</v>
      </c>
      <c r="Y87" s="43" t="s">
        <v>621</v>
      </c>
      <c r="Z87" s="67">
        <v>11112148</v>
      </c>
      <c r="AA87" s="32" t="s">
        <v>33</v>
      </c>
      <c r="AB87" s="32"/>
      <c r="AC87" s="32"/>
      <c r="AD87" s="32"/>
      <c r="AE87" s="45">
        <v>139395.4</v>
      </c>
      <c r="AF87" s="31" t="s">
        <v>34</v>
      </c>
      <c r="AG87" s="30" t="s">
        <v>4</v>
      </c>
      <c r="AH87" s="74" t="s">
        <v>883</v>
      </c>
      <c r="AI87" s="32" t="s">
        <v>855</v>
      </c>
      <c r="AJ87" s="32" t="s">
        <v>718</v>
      </c>
      <c r="AK87" s="32" t="s">
        <v>759</v>
      </c>
      <c r="AL87" s="32"/>
      <c r="AM87" s="32" t="s">
        <v>850</v>
      </c>
      <c r="AN87" s="32"/>
      <c r="AO87" s="32" t="s">
        <v>622</v>
      </c>
      <c r="AP87" s="32"/>
      <c r="AQ87" s="32" t="s">
        <v>820</v>
      </c>
      <c r="AR87" s="32"/>
      <c r="AS87" s="32"/>
      <c r="AT87" s="32"/>
      <c r="AU87" s="32"/>
      <c r="AV87" s="32"/>
      <c r="AW87" s="32"/>
      <c r="AX87" s="32"/>
      <c r="AY87" s="32"/>
      <c r="AZ87" s="32" t="s">
        <v>818</v>
      </c>
      <c r="BA87" s="32" t="s">
        <v>819</v>
      </c>
    </row>
    <row r="88" spans="1:53" s="105" customFormat="1" ht="13.5" customHeight="1" x14ac:dyDescent="0.2">
      <c r="A88" s="30">
        <v>84</v>
      </c>
      <c r="B88" s="32" t="s">
        <v>301</v>
      </c>
      <c r="C88" s="32" t="str">
        <f t="shared" si="2"/>
        <v>383290214111785</v>
      </c>
      <c r="D88" s="30">
        <v>3832902</v>
      </c>
      <c r="E88" s="30">
        <v>14111785</v>
      </c>
      <c r="F88" s="32" t="s">
        <v>320</v>
      </c>
      <c r="G88" s="82" t="s">
        <v>663</v>
      </c>
      <c r="H88" s="32" t="s">
        <v>44</v>
      </c>
      <c r="I88" s="32"/>
      <c r="J88" s="32" t="s">
        <v>37</v>
      </c>
      <c r="K88" s="32" t="s">
        <v>71</v>
      </c>
      <c r="L88" s="32" t="s">
        <v>3</v>
      </c>
      <c r="M88" s="32" t="s">
        <v>63</v>
      </c>
      <c r="N88" s="39">
        <v>6822.6</v>
      </c>
      <c r="O88" s="39">
        <v>9801.08</v>
      </c>
      <c r="P88" s="32" t="s">
        <v>126</v>
      </c>
      <c r="Q88" s="32" t="s">
        <v>41</v>
      </c>
      <c r="R88" s="32" t="s">
        <v>64</v>
      </c>
      <c r="S88" s="32"/>
      <c r="T88" s="32" t="s">
        <v>339</v>
      </c>
      <c r="U88" s="32" t="s">
        <v>4</v>
      </c>
      <c r="V88" s="45">
        <v>32004.34</v>
      </c>
      <c r="W88" s="32" t="s">
        <v>329</v>
      </c>
      <c r="X88" s="32" t="s">
        <v>334</v>
      </c>
      <c r="Y88" s="68" t="s">
        <v>417</v>
      </c>
      <c r="Z88" s="67">
        <v>11114485</v>
      </c>
      <c r="AA88" s="32" t="s">
        <v>33</v>
      </c>
      <c r="AB88" s="32" t="s">
        <v>36</v>
      </c>
      <c r="AC88" s="32" t="s">
        <v>40</v>
      </c>
      <c r="AD88" s="32" t="s">
        <v>65</v>
      </c>
      <c r="AE88" s="45">
        <v>33000</v>
      </c>
      <c r="AF88" s="67" t="s">
        <v>34</v>
      </c>
      <c r="AG88" s="30" t="s">
        <v>4</v>
      </c>
      <c r="AH88" s="32" t="s">
        <v>404</v>
      </c>
      <c r="AI88" s="32"/>
      <c r="AJ88" s="32"/>
      <c r="AK88" s="32" t="s">
        <v>315</v>
      </c>
      <c r="AL88" s="32" t="s">
        <v>331</v>
      </c>
      <c r="AM88" s="32" t="s">
        <v>364</v>
      </c>
      <c r="AN88" s="32"/>
      <c r="AO88" s="32" t="s">
        <v>426</v>
      </c>
      <c r="AP88" s="32"/>
      <c r="AQ88" s="32" t="s">
        <v>412</v>
      </c>
      <c r="AR88" s="32"/>
      <c r="AS88" s="32" t="s">
        <v>427</v>
      </c>
      <c r="AT88" s="32"/>
      <c r="AU88" s="74">
        <v>46140</v>
      </c>
      <c r="AV88" s="32"/>
      <c r="AW88" s="32"/>
      <c r="AX88" s="32"/>
      <c r="AY88" s="32"/>
      <c r="AZ88" s="32" t="s">
        <v>554</v>
      </c>
      <c r="BA88" s="32" t="s">
        <v>556</v>
      </c>
    </row>
    <row r="89" spans="1:53" s="105" customFormat="1" ht="12" x14ac:dyDescent="0.2">
      <c r="A89" s="30">
        <v>85</v>
      </c>
      <c r="B89" s="32" t="s">
        <v>301</v>
      </c>
      <c r="C89" s="32" t="str">
        <f t="shared" si="2"/>
        <v>383290216338003</v>
      </c>
      <c r="D89" s="30">
        <v>3832902</v>
      </c>
      <c r="E89" s="30">
        <v>16338003</v>
      </c>
      <c r="F89" s="32" t="s">
        <v>320</v>
      </c>
      <c r="G89" s="82">
        <v>44547975</v>
      </c>
      <c r="H89" s="32" t="s">
        <v>44</v>
      </c>
      <c r="I89" s="32" t="s">
        <v>338</v>
      </c>
      <c r="J89" s="32" t="s">
        <v>37</v>
      </c>
      <c r="K89" s="32" t="s">
        <v>71</v>
      </c>
      <c r="L89" s="32" t="s">
        <v>3</v>
      </c>
      <c r="M89" s="32" t="s">
        <v>63</v>
      </c>
      <c r="N89" s="39">
        <v>16685.48</v>
      </c>
      <c r="O89" s="39">
        <v>22312.240000000002</v>
      </c>
      <c r="P89" s="32" t="s">
        <v>126</v>
      </c>
      <c r="Q89" s="32" t="s">
        <v>41</v>
      </c>
      <c r="R89" s="32" t="s">
        <v>64</v>
      </c>
      <c r="S89" s="32"/>
      <c r="T89" s="32" t="s">
        <v>339</v>
      </c>
      <c r="U89" s="32" t="s">
        <v>4</v>
      </c>
      <c r="V89" s="45">
        <v>32004.34</v>
      </c>
      <c r="W89" s="32" t="s">
        <v>329</v>
      </c>
      <c r="X89" s="32" t="s">
        <v>334</v>
      </c>
      <c r="Y89" s="32" t="s">
        <v>321</v>
      </c>
      <c r="Z89" s="67">
        <v>11114485</v>
      </c>
      <c r="AA89" s="32" t="s">
        <v>33</v>
      </c>
      <c r="AB89" s="32" t="s">
        <v>36</v>
      </c>
      <c r="AC89" s="32" t="s">
        <v>40</v>
      </c>
      <c r="AD89" s="32" t="s">
        <v>65</v>
      </c>
      <c r="AE89" s="45">
        <v>33000</v>
      </c>
      <c r="AF89" s="67" t="s">
        <v>34</v>
      </c>
      <c r="AG89" s="30" t="s">
        <v>4</v>
      </c>
      <c r="AH89" s="32" t="s">
        <v>404</v>
      </c>
      <c r="AI89" s="32"/>
      <c r="AJ89" s="32"/>
      <c r="AK89" s="32" t="s">
        <v>315</v>
      </c>
      <c r="AL89" s="32" t="s">
        <v>331</v>
      </c>
      <c r="AM89" s="32" t="s">
        <v>364</v>
      </c>
      <c r="AN89" s="32"/>
      <c r="AO89" s="32" t="s">
        <v>426</v>
      </c>
      <c r="AP89" s="32"/>
      <c r="AQ89" s="32" t="s">
        <v>412</v>
      </c>
      <c r="AR89" s="32"/>
      <c r="AS89" s="32" t="s">
        <v>427</v>
      </c>
      <c r="AT89" s="32"/>
      <c r="AU89" s="74">
        <v>46140</v>
      </c>
      <c r="AV89" s="32"/>
      <c r="AW89" s="32"/>
      <c r="AX89" s="32"/>
      <c r="AY89" s="32"/>
      <c r="AZ89" s="32" t="s">
        <v>554</v>
      </c>
      <c r="BA89" s="32" t="s">
        <v>556</v>
      </c>
    </row>
    <row r="90" spans="1:53" s="105" customFormat="1" ht="12" x14ac:dyDescent="0.2">
      <c r="A90" s="30">
        <v>86</v>
      </c>
      <c r="B90" s="65" t="s">
        <v>301</v>
      </c>
      <c r="C90" s="47" t="str">
        <f t="shared" si="2"/>
        <v>316078615838874</v>
      </c>
      <c r="D90" s="76">
        <v>3160786</v>
      </c>
      <c r="E90" s="76">
        <v>15838874</v>
      </c>
      <c r="F90" s="65" t="s">
        <v>549</v>
      </c>
      <c r="G90" s="65" t="s">
        <v>500</v>
      </c>
      <c r="H90" s="47" t="s">
        <v>44</v>
      </c>
      <c r="I90" s="114" t="s">
        <v>846</v>
      </c>
      <c r="J90" s="47" t="s">
        <v>5</v>
      </c>
      <c r="K90" s="47" t="s">
        <v>71</v>
      </c>
      <c r="L90" s="47" t="s">
        <v>3</v>
      </c>
      <c r="M90" s="47" t="s">
        <v>63</v>
      </c>
      <c r="N90" s="48">
        <v>363.16</v>
      </c>
      <c r="O90" s="48">
        <v>1132.57</v>
      </c>
      <c r="P90" s="47" t="s">
        <v>126</v>
      </c>
      <c r="Q90" s="47" t="s">
        <v>351</v>
      </c>
      <c r="R90" s="47" t="s">
        <v>64</v>
      </c>
      <c r="S90" s="47" t="s">
        <v>40</v>
      </c>
      <c r="T90" s="47" t="s">
        <v>548</v>
      </c>
      <c r="U90" s="47" t="s">
        <v>4</v>
      </c>
      <c r="V90" s="115">
        <v>21869.47</v>
      </c>
      <c r="W90" s="65" t="s">
        <v>72</v>
      </c>
      <c r="X90" s="47" t="s">
        <v>510</v>
      </c>
      <c r="Y90" s="47" t="s">
        <v>935</v>
      </c>
      <c r="Z90" s="72">
        <v>11040880</v>
      </c>
      <c r="AA90" s="47" t="s">
        <v>33</v>
      </c>
      <c r="AB90" s="47" t="s">
        <v>35</v>
      </c>
      <c r="AC90" s="47" t="s">
        <v>511</v>
      </c>
      <c r="AD90" s="47" t="s">
        <v>65</v>
      </c>
      <c r="AE90" s="89">
        <v>22000</v>
      </c>
      <c r="AF90" s="65" t="s">
        <v>34</v>
      </c>
      <c r="AG90" s="76" t="s">
        <v>4</v>
      </c>
      <c r="AH90" s="47" t="s">
        <v>547</v>
      </c>
      <c r="AI90" s="47" t="s">
        <v>404</v>
      </c>
      <c r="AJ90" s="47" t="s">
        <v>718</v>
      </c>
      <c r="AK90" s="79" t="s">
        <v>495</v>
      </c>
      <c r="AL90" s="32"/>
      <c r="AM90" s="47" t="s">
        <v>508</v>
      </c>
      <c r="AN90" s="47"/>
      <c r="AO90" s="47" t="s">
        <v>546</v>
      </c>
      <c r="AP90" s="47"/>
      <c r="AQ90" s="47" t="s">
        <v>575</v>
      </c>
      <c r="AR90" s="47"/>
      <c r="AS90" s="47"/>
      <c r="AT90" s="47"/>
      <c r="AU90" s="47" t="s">
        <v>310</v>
      </c>
      <c r="AV90" s="47"/>
      <c r="AW90" s="47"/>
      <c r="AX90" s="47"/>
      <c r="AY90" s="47"/>
      <c r="AZ90" s="47" t="s">
        <v>546</v>
      </c>
      <c r="BA90" s="47" t="s">
        <v>550</v>
      </c>
    </row>
    <row r="91" spans="1:53" s="105" customFormat="1" ht="12" x14ac:dyDescent="0.2">
      <c r="A91" s="30">
        <v>87</v>
      </c>
      <c r="B91" s="31" t="s">
        <v>301</v>
      </c>
      <c r="C91" s="32" t="str">
        <f t="shared" si="2"/>
        <v>236112212648969</v>
      </c>
      <c r="D91" s="30">
        <v>2361122</v>
      </c>
      <c r="E91" s="30">
        <v>12648969</v>
      </c>
      <c r="F91" s="31" t="s">
        <v>434</v>
      </c>
      <c r="G91" s="31">
        <v>40613223</v>
      </c>
      <c r="H91" s="32" t="s">
        <v>44</v>
      </c>
      <c r="I91" s="66" t="s">
        <v>464</v>
      </c>
      <c r="J91" s="47" t="s">
        <v>5</v>
      </c>
      <c r="K91" s="32" t="s">
        <v>71</v>
      </c>
      <c r="L91" s="47" t="s">
        <v>3</v>
      </c>
      <c r="M91" s="47" t="s">
        <v>68</v>
      </c>
      <c r="N91" s="39">
        <v>23605.1</v>
      </c>
      <c r="O91" s="39">
        <v>24723.32</v>
      </c>
      <c r="P91" s="47" t="s">
        <v>67</v>
      </c>
      <c r="Q91" s="47" t="s">
        <v>351</v>
      </c>
      <c r="R91" s="47"/>
      <c r="S91" s="32"/>
      <c r="T91" s="32"/>
      <c r="U91" s="32"/>
      <c r="V91" s="45">
        <v>26196.9</v>
      </c>
      <c r="W91" s="32"/>
      <c r="X91" s="32" t="s">
        <v>40</v>
      </c>
      <c r="Y91" s="32"/>
      <c r="Z91" s="67"/>
      <c r="AA91" s="32"/>
      <c r="AB91" s="32"/>
      <c r="AC91" s="32"/>
      <c r="AD91" s="32"/>
      <c r="AE91" s="45"/>
      <c r="AF91" s="31"/>
      <c r="AG91" s="30"/>
      <c r="AH91" s="32"/>
      <c r="AI91" s="32"/>
      <c r="AJ91" s="32"/>
      <c r="AK91" s="44"/>
      <c r="AL91" s="32"/>
      <c r="AM91" s="32"/>
      <c r="AN91" s="32"/>
      <c r="AO91" s="32" t="s">
        <v>441</v>
      </c>
      <c r="AP91" s="32"/>
      <c r="AQ91" s="32"/>
      <c r="AR91" s="32"/>
      <c r="AS91" s="32"/>
      <c r="AT91" s="32"/>
      <c r="AU91" s="32"/>
      <c r="AV91" s="32"/>
      <c r="AW91" s="32"/>
      <c r="AX91" s="32"/>
      <c r="AY91" s="32"/>
      <c r="AZ91" s="32"/>
      <c r="BA91" s="32" t="s">
        <v>310</v>
      </c>
    </row>
    <row r="92" spans="1:53" s="105" customFormat="1" ht="18.75" customHeight="1" x14ac:dyDescent="0.2">
      <c r="A92" s="30">
        <v>88</v>
      </c>
      <c r="B92" s="31" t="s">
        <v>301</v>
      </c>
      <c r="C92" s="32" t="str">
        <f t="shared" si="2"/>
        <v>23611229919725</v>
      </c>
      <c r="D92" s="30">
        <v>2361122</v>
      </c>
      <c r="E92" s="30">
        <v>9919725</v>
      </c>
      <c r="F92" s="31" t="s">
        <v>434</v>
      </c>
      <c r="G92" s="31">
        <v>40613223</v>
      </c>
      <c r="H92" s="32" t="s">
        <v>44</v>
      </c>
      <c r="I92" s="32"/>
      <c r="J92" s="47" t="s">
        <v>5</v>
      </c>
      <c r="K92" s="32" t="s">
        <v>71</v>
      </c>
      <c r="L92" s="47" t="s">
        <v>3</v>
      </c>
      <c r="M92" s="47" t="s">
        <v>68</v>
      </c>
      <c r="N92" s="39">
        <v>29.65</v>
      </c>
      <c r="O92" s="39">
        <v>97.78</v>
      </c>
      <c r="P92" s="47" t="s">
        <v>67</v>
      </c>
      <c r="Q92" s="47" t="s">
        <v>351</v>
      </c>
      <c r="R92" s="47" t="s">
        <v>64</v>
      </c>
      <c r="S92" s="32"/>
      <c r="T92" s="32" t="s">
        <v>465</v>
      </c>
      <c r="U92" s="32"/>
      <c r="V92" s="45">
        <v>26196.9</v>
      </c>
      <c r="W92" s="47" t="s">
        <v>72</v>
      </c>
      <c r="X92" s="32" t="s">
        <v>40</v>
      </c>
      <c r="Y92" s="32"/>
      <c r="Z92" s="67"/>
      <c r="AA92" s="32"/>
      <c r="AB92" s="32"/>
      <c r="AC92" s="32"/>
      <c r="AD92" s="32"/>
      <c r="AE92" s="45"/>
      <c r="AF92" s="31"/>
      <c r="AG92" s="30"/>
      <c r="AH92" s="32"/>
      <c r="AI92" s="32"/>
      <c r="AJ92" s="32"/>
      <c r="AK92" s="44"/>
      <c r="AL92" s="32"/>
      <c r="AM92" s="32"/>
      <c r="AN92" s="32"/>
      <c r="AO92" s="32" t="s">
        <v>441</v>
      </c>
      <c r="AP92" s="32"/>
      <c r="AQ92" s="32" t="s">
        <v>463</v>
      </c>
      <c r="AR92" s="32"/>
      <c r="AS92" s="32"/>
      <c r="AT92" s="32"/>
      <c r="AU92" s="32"/>
      <c r="AV92" s="32"/>
      <c r="AW92" s="32"/>
      <c r="AX92" s="32"/>
      <c r="AY92" s="32"/>
      <c r="AZ92" s="32"/>
      <c r="BA92" s="32"/>
    </row>
    <row r="93" spans="1:53" s="105" customFormat="1" ht="12" x14ac:dyDescent="0.2">
      <c r="A93" s="30">
        <v>89</v>
      </c>
      <c r="B93" s="31" t="s">
        <v>301</v>
      </c>
      <c r="C93" s="32" t="str">
        <f t="shared" ref="C93:C113" si="3">D93&amp;E93</f>
        <v>236112213746786</v>
      </c>
      <c r="D93" s="30">
        <v>2361122</v>
      </c>
      <c r="E93" s="30">
        <v>13746786</v>
      </c>
      <c r="F93" s="31" t="s">
        <v>434</v>
      </c>
      <c r="G93" s="31" t="s">
        <v>501</v>
      </c>
      <c r="H93" s="32" t="s">
        <v>44</v>
      </c>
      <c r="I93" s="32" t="s">
        <v>124</v>
      </c>
      <c r="J93" s="47" t="s">
        <v>5</v>
      </c>
      <c r="K93" s="32" t="s">
        <v>71</v>
      </c>
      <c r="L93" s="47" t="s">
        <v>3</v>
      </c>
      <c r="M93" s="47" t="s">
        <v>68</v>
      </c>
      <c r="N93" s="39">
        <v>1596.87</v>
      </c>
      <c r="O93" s="39">
        <v>26417.969999999998</v>
      </c>
      <c r="P93" s="47" t="s">
        <v>67</v>
      </c>
      <c r="Q93" s="47" t="s">
        <v>351</v>
      </c>
      <c r="R93" s="47" t="s">
        <v>64</v>
      </c>
      <c r="S93" s="32" t="s">
        <v>40</v>
      </c>
      <c r="T93" s="32" t="s">
        <v>551</v>
      </c>
      <c r="U93" s="32" t="s">
        <v>44</v>
      </c>
      <c r="V93" s="45">
        <v>1604.87</v>
      </c>
      <c r="W93" s="31" t="s">
        <v>72</v>
      </c>
      <c r="X93" s="32" t="s">
        <v>40</v>
      </c>
      <c r="Y93" s="32"/>
      <c r="Z93" s="67"/>
      <c r="AA93" s="32"/>
      <c r="AB93" s="32"/>
      <c r="AC93" s="32"/>
      <c r="AD93" s="32"/>
      <c r="AE93" s="45"/>
      <c r="AF93" s="31"/>
      <c r="AG93" s="30"/>
      <c r="AH93" s="32"/>
      <c r="AI93" s="32"/>
      <c r="AJ93" s="32"/>
      <c r="AK93" s="44"/>
      <c r="AL93" s="32"/>
      <c r="AM93" s="32"/>
      <c r="AN93" s="32"/>
      <c r="AO93" s="32" t="s">
        <v>508</v>
      </c>
      <c r="AP93" s="32"/>
      <c r="AQ93" s="32" t="s">
        <v>544</v>
      </c>
      <c r="AR93" s="32"/>
      <c r="AS93" s="32" t="s">
        <v>467</v>
      </c>
      <c r="AT93" s="32"/>
      <c r="AU93" s="32"/>
      <c r="AV93" s="32"/>
      <c r="AW93" s="32"/>
      <c r="AX93" s="32"/>
      <c r="AY93" s="32"/>
      <c r="AZ93" s="32" t="s">
        <v>676</v>
      </c>
      <c r="BA93" s="32" t="s">
        <v>680</v>
      </c>
    </row>
    <row r="94" spans="1:53" s="105" customFormat="1" ht="18" customHeight="1" x14ac:dyDescent="0.2">
      <c r="A94" s="30">
        <v>90</v>
      </c>
      <c r="B94" s="32" t="s">
        <v>421</v>
      </c>
      <c r="C94" s="32" t="str">
        <f t="shared" si="3"/>
        <v>379931621230031</v>
      </c>
      <c r="D94" s="30">
        <v>3799316</v>
      </c>
      <c r="E94" s="30">
        <v>21230031</v>
      </c>
      <c r="F94" s="97" t="s">
        <v>885</v>
      </c>
      <c r="G94" s="31">
        <v>41525706</v>
      </c>
      <c r="H94" s="31" t="s">
        <v>44</v>
      </c>
      <c r="I94" s="32"/>
      <c r="J94" s="47" t="s">
        <v>5</v>
      </c>
      <c r="K94" s="32" t="s">
        <v>71</v>
      </c>
      <c r="L94" s="47" t="s">
        <v>3</v>
      </c>
      <c r="M94" s="47" t="s">
        <v>63</v>
      </c>
      <c r="N94" s="32"/>
      <c r="O94" s="32"/>
      <c r="P94" s="47" t="s">
        <v>126</v>
      </c>
      <c r="Q94" s="47" t="s">
        <v>886</v>
      </c>
      <c r="R94" s="47" t="s">
        <v>64</v>
      </c>
      <c r="S94" s="32" t="s">
        <v>40</v>
      </c>
      <c r="T94" s="32"/>
      <c r="U94" s="32"/>
      <c r="V94" s="32"/>
      <c r="W94" s="32" t="s">
        <v>657</v>
      </c>
      <c r="X94" s="32" t="s">
        <v>889</v>
      </c>
      <c r="Y94" s="32"/>
      <c r="Z94" s="67"/>
      <c r="AA94" s="32"/>
      <c r="AB94" s="32"/>
      <c r="AC94" s="32"/>
      <c r="AD94" s="32"/>
      <c r="AE94" s="32"/>
      <c r="AF94" s="31"/>
      <c r="AG94" s="30"/>
      <c r="AH94" s="32"/>
      <c r="AI94" s="32"/>
      <c r="AJ94" s="32"/>
      <c r="AK94" s="74">
        <v>46178</v>
      </c>
      <c r="AL94" s="32"/>
      <c r="AM94" s="32"/>
      <c r="AN94" s="32"/>
      <c r="AO94" s="32"/>
      <c r="AP94" s="32"/>
      <c r="AQ94" s="32"/>
      <c r="AR94" s="32"/>
      <c r="AS94" s="32"/>
      <c r="AT94" s="32"/>
      <c r="AU94" s="32"/>
      <c r="AV94" s="32"/>
      <c r="AW94" s="32"/>
      <c r="AX94" s="32"/>
      <c r="AY94" s="32"/>
      <c r="AZ94" s="32"/>
      <c r="BA94" s="32"/>
    </row>
    <row r="95" spans="1:53" s="105" customFormat="1" ht="13.5" customHeight="1" x14ac:dyDescent="0.2">
      <c r="A95" s="30">
        <v>91</v>
      </c>
      <c r="B95" s="47" t="s">
        <v>301</v>
      </c>
      <c r="C95" s="47" t="str">
        <f t="shared" si="3"/>
        <v>156646711730389</v>
      </c>
      <c r="D95" s="76">
        <v>1566467</v>
      </c>
      <c r="E95" s="76">
        <v>11730389</v>
      </c>
      <c r="F95" s="47" t="s">
        <v>337</v>
      </c>
      <c r="G95" s="65" t="s">
        <v>180</v>
      </c>
      <c r="H95" s="47" t="s">
        <v>44</v>
      </c>
      <c r="I95" s="47" t="s">
        <v>237</v>
      </c>
      <c r="J95" s="47" t="s">
        <v>5</v>
      </c>
      <c r="K95" s="47" t="s">
        <v>84</v>
      </c>
      <c r="L95" s="47" t="s">
        <v>3</v>
      </c>
      <c r="M95" s="47" t="s">
        <v>63</v>
      </c>
      <c r="N95" s="48">
        <v>52672.74</v>
      </c>
      <c r="O95" s="48">
        <v>58430.1</v>
      </c>
      <c r="P95" s="47" t="s">
        <v>126</v>
      </c>
      <c r="Q95" s="47" t="s">
        <v>32</v>
      </c>
      <c r="R95" s="47" t="s">
        <v>64</v>
      </c>
      <c r="S95" s="47" t="s">
        <v>36</v>
      </c>
      <c r="T95" s="47" t="s">
        <v>181</v>
      </c>
      <c r="U95" s="47" t="s">
        <v>4</v>
      </c>
      <c r="V95" s="89">
        <v>57481.35</v>
      </c>
      <c r="W95" s="47" t="s">
        <v>381</v>
      </c>
      <c r="X95" s="32" t="s">
        <v>182</v>
      </c>
      <c r="Y95" s="47" t="s">
        <v>183</v>
      </c>
      <c r="Z95" s="77">
        <v>60519538</v>
      </c>
      <c r="AA95" s="47" t="s">
        <v>43</v>
      </c>
      <c r="AB95" s="47" t="s">
        <v>36</v>
      </c>
      <c r="AC95" s="47" t="s">
        <v>40</v>
      </c>
      <c r="AD95" s="84" t="s">
        <v>65</v>
      </c>
      <c r="AE95" s="89">
        <v>58000</v>
      </c>
      <c r="AF95" s="77" t="s">
        <v>34</v>
      </c>
      <c r="AG95" s="76" t="s">
        <v>4</v>
      </c>
      <c r="AH95" s="32" t="s">
        <v>184</v>
      </c>
      <c r="AI95" s="32"/>
      <c r="AJ95" s="47"/>
      <c r="AK95" s="47" t="s">
        <v>185</v>
      </c>
      <c r="AL95" s="47"/>
      <c r="AM95" s="32" t="s">
        <v>187</v>
      </c>
      <c r="AN95" s="84" t="s">
        <v>248</v>
      </c>
      <c r="AO95" s="47" t="s">
        <v>186</v>
      </c>
      <c r="AP95" s="47" t="s">
        <v>187</v>
      </c>
      <c r="AQ95" s="47" t="s">
        <v>234</v>
      </c>
      <c r="AR95" s="47"/>
      <c r="AS95" s="47" t="s">
        <v>269</v>
      </c>
      <c r="AT95" s="47" t="s">
        <v>268</v>
      </c>
      <c r="AU95" s="122" t="s">
        <v>522</v>
      </c>
      <c r="AV95" s="47"/>
      <c r="AW95" s="47"/>
      <c r="AX95" s="47"/>
      <c r="AY95" s="47"/>
      <c r="AZ95" s="123" t="s">
        <v>629</v>
      </c>
      <c r="BA95" s="47" t="s">
        <v>646</v>
      </c>
    </row>
    <row r="96" spans="1:53" s="105" customFormat="1" ht="14.25" customHeight="1" x14ac:dyDescent="0.2">
      <c r="A96" s="30">
        <v>92</v>
      </c>
      <c r="B96" s="31" t="s">
        <v>301</v>
      </c>
      <c r="C96" s="32" t="str">
        <f t="shared" si="3"/>
        <v>251922316877851</v>
      </c>
      <c r="D96" s="30">
        <v>2519223</v>
      </c>
      <c r="E96" s="30">
        <v>16877851</v>
      </c>
      <c r="F96" s="31" t="s">
        <v>474</v>
      </c>
      <c r="G96" s="31">
        <v>21104183</v>
      </c>
      <c r="H96" s="32" t="s">
        <v>44</v>
      </c>
      <c r="I96" s="109" t="s">
        <v>691</v>
      </c>
      <c r="J96" s="47" t="s">
        <v>5</v>
      </c>
      <c r="K96" s="47" t="s">
        <v>71</v>
      </c>
      <c r="L96" s="47" t="s">
        <v>3</v>
      </c>
      <c r="M96" s="47" t="s">
        <v>63</v>
      </c>
      <c r="N96" s="39">
        <v>4961.1000000000004</v>
      </c>
      <c r="O96" s="39">
        <v>7144.33</v>
      </c>
      <c r="P96" s="47" t="s">
        <v>126</v>
      </c>
      <c r="Q96" s="47" t="s">
        <v>111</v>
      </c>
      <c r="R96" s="47" t="s">
        <v>64</v>
      </c>
      <c r="S96" s="32" t="s">
        <v>40</v>
      </c>
      <c r="T96" s="32" t="s">
        <v>746</v>
      </c>
      <c r="U96" s="32" t="s">
        <v>4</v>
      </c>
      <c r="V96" s="106">
        <v>54911.89</v>
      </c>
      <c r="W96" s="31" t="s">
        <v>259</v>
      </c>
      <c r="X96" s="32" t="s">
        <v>512</v>
      </c>
      <c r="Y96" s="32" t="s">
        <v>513</v>
      </c>
      <c r="Z96" s="67" t="s">
        <v>514</v>
      </c>
      <c r="AA96" s="32" t="s">
        <v>33</v>
      </c>
      <c r="AB96" s="32" t="s">
        <v>36</v>
      </c>
      <c r="AC96" s="32" t="s">
        <v>40</v>
      </c>
      <c r="AD96" s="32" t="s">
        <v>109</v>
      </c>
      <c r="AE96" s="45">
        <v>55000</v>
      </c>
      <c r="AF96" s="31" t="s">
        <v>34</v>
      </c>
      <c r="AG96" s="30" t="s">
        <v>4</v>
      </c>
      <c r="AH96" s="32" t="s">
        <v>696</v>
      </c>
      <c r="AI96" s="32" t="s">
        <v>810</v>
      </c>
      <c r="AJ96" s="32" t="s">
        <v>718</v>
      </c>
      <c r="AK96" s="44" t="s">
        <v>495</v>
      </c>
      <c r="AL96" s="32"/>
      <c r="AM96" s="32" t="s">
        <v>515</v>
      </c>
      <c r="AN96" s="32"/>
      <c r="AO96" s="32" t="s">
        <v>661</v>
      </c>
      <c r="AP96" s="32"/>
      <c r="AQ96" s="32" t="s">
        <v>664</v>
      </c>
      <c r="AR96" s="32"/>
      <c r="AS96" s="32"/>
      <c r="AT96" s="32"/>
      <c r="AU96" s="32"/>
      <c r="AV96" s="32"/>
      <c r="AW96" s="32"/>
      <c r="AX96" s="32"/>
      <c r="AY96" s="32"/>
      <c r="AZ96" s="32" t="s">
        <v>622</v>
      </c>
      <c r="BA96" s="32" t="s">
        <v>384</v>
      </c>
    </row>
    <row r="97" spans="1:53" s="105" customFormat="1" ht="13.5" customHeight="1" x14ac:dyDescent="0.2">
      <c r="A97" s="30">
        <v>93</v>
      </c>
      <c r="B97" s="32" t="s">
        <v>421</v>
      </c>
      <c r="C97" s="32" t="str">
        <f t="shared" si="3"/>
        <v>477069019043398</v>
      </c>
      <c r="D97" s="30">
        <v>4770690</v>
      </c>
      <c r="E97" s="30">
        <v>19043398</v>
      </c>
      <c r="F97" s="31" t="s">
        <v>702</v>
      </c>
      <c r="G97" s="31">
        <v>43610545</v>
      </c>
      <c r="H97" s="32" t="s">
        <v>44</v>
      </c>
      <c r="I97" s="32"/>
      <c r="J97" s="47" t="s">
        <v>5</v>
      </c>
      <c r="K97" s="47" t="s">
        <v>84</v>
      </c>
      <c r="L97" s="47" t="s">
        <v>3</v>
      </c>
      <c r="M97" s="47" t="s">
        <v>63</v>
      </c>
      <c r="N97" s="39">
        <v>27846.92</v>
      </c>
      <c r="O97" s="39">
        <v>36752.160000000003</v>
      </c>
      <c r="P97" s="47" t="s">
        <v>126</v>
      </c>
      <c r="Q97" s="47" t="s">
        <v>41</v>
      </c>
      <c r="R97" s="47" t="s">
        <v>64</v>
      </c>
      <c r="S97" s="32" t="s">
        <v>641</v>
      </c>
      <c r="T97" s="32" t="s">
        <v>905</v>
      </c>
      <c r="U97" s="32" t="s">
        <v>4</v>
      </c>
      <c r="V97" s="106">
        <v>36606.36</v>
      </c>
      <c r="W97" s="32" t="s">
        <v>712</v>
      </c>
      <c r="X97" s="32" t="s">
        <v>711</v>
      </c>
      <c r="Y97" s="32" t="s">
        <v>936</v>
      </c>
      <c r="Z97" s="67">
        <v>11116137</v>
      </c>
      <c r="AA97" s="32" t="s">
        <v>33</v>
      </c>
      <c r="AB97" s="32" t="s">
        <v>36</v>
      </c>
      <c r="AC97" s="32" t="s">
        <v>40</v>
      </c>
      <c r="AD97" s="32" t="s">
        <v>65</v>
      </c>
      <c r="AE97" s="45">
        <v>37000</v>
      </c>
      <c r="AF97" s="31" t="s">
        <v>34</v>
      </c>
      <c r="AG97" s="30" t="s">
        <v>44</v>
      </c>
      <c r="AH97" s="32"/>
      <c r="AI97" s="32"/>
      <c r="AJ97" s="32"/>
      <c r="AK97" s="32" t="s">
        <v>709</v>
      </c>
      <c r="AL97" s="32"/>
      <c r="AM97" s="32" t="s">
        <v>710</v>
      </c>
      <c r="AN97" s="32"/>
      <c r="AO97" s="32"/>
      <c r="AP97" s="32"/>
      <c r="AQ97" s="32" t="s">
        <v>875</v>
      </c>
      <c r="AR97" s="32"/>
      <c r="AS97" s="32"/>
      <c r="AT97" s="32"/>
      <c r="AU97" s="32"/>
      <c r="AV97" s="32"/>
      <c r="AW97" s="32"/>
      <c r="AX97" s="32"/>
      <c r="AY97" s="32"/>
      <c r="AZ97" s="74" t="s">
        <v>869</v>
      </c>
      <c r="BA97" s="32" t="s">
        <v>716</v>
      </c>
    </row>
    <row r="98" spans="1:53" s="105" customFormat="1" ht="12" x14ac:dyDescent="0.2">
      <c r="A98" s="30">
        <v>94</v>
      </c>
      <c r="B98" s="31" t="s">
        <v>301</v>
      </c>
      <c r="C98" s="32" t="str">
        <f t="shared" si="3"/>
        <v>199187514870408</v>
      </c>
      <c r="D98" s="30">
        <v>1991875</v>
      </c>
      <c r="E98" s="30">
        <v>14870408</v>
      </c>
      <c r="F98" s="31" t="s">
        <v>437</v>
      </c>
      <c r="G98" s="31">
        <v>71924946</v>
      </c>
      <c r="H98" s="32" t="s">
        <v>44</v>
      </c>
      <c r="I98" s="32" t="s">
        <v>310</v>
      </c>
      <c r="J98" s="47" t="s">
        <v>37</v>
      </c>
      <c r="K98" s="47" t="s">
        <v>62</v>
      </c>
      <c r="L98" s="47" t="s">
        <v>3</v>
      </c>
      <c r="M98" s="47" t="s">
        <v>63</v>
      </c>
      <c r="N98" s="39">
        <v>28666.15</v>
      </c>
      <c r="O98" s="39">
        <v>35711.230000000003</v>
      </c>
      <c r="P98" s="47" t="s">
        <v>126</v>
      </c>
      <c r="Q98" s="47" t="s">
        <v>32</v>
      </c>
      <c r="R98" s="47" t="s">
        <v>64</v>
      </c>
      <c r="S98" s="32" t="s">
        <v>40</v>
      </c>
      <c r="T98" s="32" t="s">
        <v>662</v>
      </c>
      <c r="U98" s="32"/>
      <c r="V98" s="45">
        <v>72264.97</v>
      </c>
      <c r="W98" s="32" t="s">
        <v>453</v>
      </c>
      <c r="X98" s="32" t="s">
        <v>454</v>
      </c>
      <c r="Y98" s="32" t="s">
        <v>937</v>
      </c>
      <c r="Z98" s="53" t="s">
        <v>445</v>
      </c>
      <c r="AA98" s="32" t="s">
        <v>33</v>
      </c>
      <c r="AB98" s="32" t="s">
        <v>42</v>
      </c>
      <c r="AC98" s="32" t="s">
        <v>446</v>
      </c>
      <c r="AD98" s="32" t="s">
        <v>65</v>
      </c>
      <c r="AE98" s="45">
        <v>73000</v>
      </c>
      <c r="AF98" s="31" t="s">
        <v>34</v>
      </c>
      <c r="AG98" s="30" t="s">
        <v>4</v>
      </c>
      <c r="AH98" s="32" t="s">
        <v>467</v>
      </c>
      <c r="AI98" s="32"/>
      <c r="AJ98" s="32"/>
      <c r="AK98" s="44" t="s">
        <v>451</v>
      </c>
      <c r="AL98" s="32"/>
      <c r="AM98" s="32" t="s">
        <v>574</v>
      </c>
      <c r="AN98" s="32"/>
      <c r="AO98" s="32" t="s">
        <v>603</v>
      </c>
      <c r="AP98" s="32"/>
      <c r="AQ98" s="32" t="s">
        <v>655</v>
      </c>
      <c r="AR98" s="32"/>
      <c r="AS98" s="32" t="s">
        <v>655</v>
      </c>
      <c r="AT98" s="32"/>
      <c r="AU98" s="32" t="s">
        <v>862</v>
      </c>
      <c r="AV98" s="32"/>
      <c r="AW98" s="32"/>
      <c r="AX98" s="32"/>
      <c r="AY98" s="32"/>
      <c r="AZ98" s="32" t="s">
        <v>645</v>
      </c>
      <c r="BA98" s="32" t="s">
        <v>379</v>
      </c>
    </row>
    <row r="99" spans="1:53" s="105" customFormat="1" ht="12" x14ac:dyDescent="0.2">
      <c r="A99" s="30">
        <v>95</v>
      </c>
      <c r="B99" s="31" t="s">
        <v>301</v>
      </c>
      <c r="C99" s="32" t="str">
        <f t="shared" si="3"/>
        <v>199187515153079</v>
      </c>
      <c r="D99" s="30">
        <v>1991875</v>
      </c>
      <c r="E99" s="30">
        <v>15153079</v>
      </c>
      <c r="F99" s="31" t="s">
        <v>437</v>
      </c>
      <c r="G99" s="31">
        <v>71924946</v>
      </c>
      <c r="H99" s="32" t="s">
        <v>44</v>
      </c>
      <c r="I99" s="32"/>
      <c r="J99" s="47" t="s">
        <v>37</v>
      </c>
      <c r="K99" s="47" t="s">
        <v>62</v>
      </c>
      <c r="L99" s="47" t="s">
        <v>3</v>
      </c>
      <c r="M99" s="47" t="s">
        <v>63</v>
      </c>
      <c r="N99" s="39">
        <v>28263.53</v>
      </c>
      <c r="O99" s="39">
        <v>36752.339999999997</v>
      </c>
      <c r="P99" s="47" t="s">
        <v>126</v>
      </c>
      <c r="Q99" s="47" t="s">
        <v>393</v>
      </c>
      <c r="R99" s="47" t="s">
        <v>444</v>
      </c>
      <c r="S99" s="32" t="s">
        <v>40</v>
      </c>
      <c r="T99" s="32" t="s">
        <v>662</v>
      </c>
      <c r="U99" s="32"/>
      <c r="V99" s="45">
        <v>72264.97</v>
      </c>
      <c r="W99" s="32" t="s">
        <v>453</v>
      </c>
      <c r="X99" s="32" t="s">
        <v>454</v>
      </c>
      <c r="Y99" s="32" t="s">
        <v>937</v>
      </c>
      <c r="Z99" s="53" t="s">
        <v>445</v>
      </c>
      <c r="AA99" s="32" t="s">
        <v>33</v>
      </c>
      <c r="AB99" s="32" t="s">
        <v>42</v>
      </c>
      <c r="AC99" s="32" t="s">
        <v>446</v>
      </c>
      <c r="AD99" s="32" t="s">
        <v>65</v>
      </c>
      <c r="AE99" s="45">
        <v>73000</v>
      </c>
      <c r="AF99" s="31" t="s">
        <v>34</v>
      </c>
      <c r="AG99" s="30" t="s">
        <v>4</v>
      </c>
      <c r="AH99" s="32" t="s">
        <v>467</v>
      </c>
      <c r="AI99" s="32"/>
      <c r="AJ99" s="32"/>
      <c r="AK99" s="44" t="s">
        <v>451</v>
      </c>
      <c r="AL99" s="32"/>
      <c r="AM99" s="32" t="s">
        <v>574</v>
      </c>
      <c r="AN99" s="32"/>
      <c r="AO99" s="32" t="s">
        <v>603</v>
      </c>
      <c r="AP99" s="32"/>
      <c r="AQ99" s="32" t="s">
        <v>655</v>
      </c>
      <c r="AR99" s="32"/>
      <c r="AS99" s="32" t="s">
        <v>655</v>
      </c>
      <c r="AT99" s="32"/>
      <c r="AU99" s="32" t="s">
        <v>870</v>
      </c>
      <c r="AV99" s="32"/>
      <c r="AW99" s="32"/>
      <c r="AX99" s="32"/>
      <c r="AY99" s="32"/>
      <c r="AZ99" s="32" t="s">
        <v>645</v>
      </c>
      <c r="BA99" s="32" t="s">
        <v>379</v>
      </c>
    </row>
    <row r="100" spans="1:53" s="105" customFormat="1" ht="12" x14ac:dyDescent="0.2">
      <c r="A100" s="30">
        <v>96</v>
      </c>
      <c r="B100" s="47" t="s">
        <v>421</v>
      </c>
      <c r="C100" s="47" t="str">
        <f t="shared" si="3"/>
        <v>356395618708539</v>
      </c>
      <c r="D100" s="76">
        <v>3563956</v>
      </c>
      <c r="E100" s="76">
        <v>18708539</v>
      </c>
      <c r="F100" s="65" t="s">
        <v>772</v>
      </c>
      <c r="G100" s="65">
        <v>44540194</v>
      </c>
      <c r="H100" s="65" t="s">
        <v>44</v>
      </c>
      <c r="I100" s="47"/>
      <c r="J100" s="47" t="s">
        <v>5</v>
      </c>
      <c r="K100" s="47" t="s">
        <v>62</v>
      </c>
      <c r="L100" s="47" t="s">
        <v>3</v>
      </c>
      <c r="M100" s="47" t="s">
        <v>63</v>
      </c>
      <c r="N100" s="47"/>
      <c r="O100" s="47"/>
      <c r="P100" s="47" t="s">
        <v>126</v>
      </c>
      <c r="Q100" s="47" t="s">
        <v>41</v>
      </c>
      <c r="R100" s="47" t="s">
        <v>64</v>
      </c>
      <c r="S100" s="47"/>
      <c r="T100" s="47"/>
      <c r="U100" s="47" t="s">
        <v>4</v>
      </c>
      <c r="V100" s="47"/>
      <c r="W100" s="47"/>
      <c r="X100" s="47" t="s">
        <v>852</v>
      </c>
      <c r="Y100" s="47" t="s">
        <v>777</v>
      </c>
      <c r="Z100" s="90">
        <v>11027016</v>
      </c>
      <c r="AA100" s="90" t="s">
        <v>33</v>
      </c>
      <c r="AB100" s="90" t="s">
        <v>35</v>
      </c>
      <c r="AC100" s="90" t="s">
        <v>778</v>
      </c>
      <c r="AD100" s="90" t="s">
        <v>109</v>
      </c>
      <c r="AE100" s="89">
        <v>23000</v>
      </c>
      <c r="AF100" s="90" t="s">
        <v>34</v>
      </c>
      <c r="AG100" s="76" t="s">
        <v>44</v>
      </c>
      <c r="AH100" s="47"/>
      <c r="AI100" s="47"/>
      <c r="AJ100" s="47"/>
      <c r="AK100" s="79" t="s">
        <v>866</v>
      </c>
      <c r="AL100" s="47"/>
      <c r="AM100" s="47"/>
      <c r="AN100" s="47"/>
      <c r="AO100" s="47"/>
      <c r="AP100" s="47"/>
      <c r="AQ100" s="47"/>
      <c r="AR100" s="47"/>
      <c r="AS100" s="47"/>
      <c r="AT100" s="47"/>
      <c r="AU100" s="47"/>
      <c r="AV100" s="47"/>
      <c r="AW100" s="47"/>
      <c r="AX100" s="47"/>
      <c r="AY100" s="47"/>
      <c r="AZ100" s="47"/>
      <c r="BA100" s="47"/>
    </row>
    <row r="101" spans="1:53" s="105" customFormat="1" ht="12" x14ac:dyDescent="0.2">
      <c r="A101" s="30">
        <v>97</v>
      </c>
      <c r="B101" s="65" t="s">
        <v>301</v>
      </c>
      <c r="C101" s="47" t="str">
        <f t="shared" si="3"/>
        <v>239508317920946</v>
      </c>
      <c r="D101" s="76">
        <v>2395083</v>
      </c>
      <c r="E101" s="76">
        <v>17920946</v>
      </c>
      <c r="F101" s="31" t="s">
        <v>587</v>
      </c>
      <c r="G101" s="31" t="s">
        <v>591</v>
      </c>
      <c r="H101" s="47" t="s">
        <v>44</v>
      </c>
      <c r="I101" s="66" t="s">
        <v>768</v>
      </c>
      <c r="J101" s="47" t="s">
        <v>5</v>
      </c>
      <c r="K101" s="47" t="s">
        <v>71</v>
      </c>
      <c r="L101" s="32" t="s">
        <v>3</v>
      </c>
      <c r="M101" s="47" t="s">
        <v>63</v>
      </c>
      <c r="N101" s="39">
        <v>24522.77</v>
      </c>
      <c r="O101" s="39">
        <v>26404.01</v>
      </c>
      <c r="P101" s="32" t="s">
        <v>126</v>
      </c>
      <c r="Q101" s="32" t="s">
        <v>41</v>
      </c>
      <c r="R101" s="32" t="s">
        <v>64</v>
      </c>
      <c r="S101" s="47" t="s">
        <v>40</v>
      </c>
      <c r="T101" s="32"/>
      <c r="U101" s="32" t="s">
        <v>44</v>
      </c>
      <c r="V101" s="32"/>
      <c r="W101" s="32"/>
      <c r="X101" s="32"/>
      <c r="Y101" s="32"/>
      <c r="Z101" s="53"/>
      <c r="AA101" s="32" t="s">
        <v>33</v>
      </c>
      <c r="AB101" s="32"/>
      <c r="AC101" s="32"/>
      <c r="AD101" s="32"/>
      <c r="AE101" s="45"/>
      <c r="AF101" s="31"/>
      <c r="AG101" s="30"/>
      <c r="AH101" s="32"/>
      <c r="AI101" s="32"/>
      <c r="AJ101" s="32"/>
      <c r="AK101" s="44"/>
      <c r="AL101" s="32"/>
      <c r="AM101" s="32"/>
      <c r="AN101" s="32"/>
      <c r="AO101" s="32"/>
      <c r="AP101" s="32"/>
      <c r="AQ101" s="32"/>
      <c r="AR101" s="32"/>
      <c r="AS101" s="32"/>
      <c r="AT101" s="32"/>
      <c r="AU101" s="32"/>
      <c r="AV101" s="32"/>
      <c r="AW101" s="32"/>
      <c r="AX101" s="32"/>
      <c r="AY101" s="32"/>
      <c r="AZ101" s="32"/>
      <c r="BA101" s="32"/>
    </row>
    <row r="102" spans="1:53" s="105" customFormat="1" ht="12" x14ac:dyDescent="0.2">
      <c r="A102" s="30">
        <v>98</v>
      </c>
      <c r="B102" s="65" t="s">
        <v>301</v>
      </c>
      <c r="C102" s="47" t="str">
        <f t="shared" si="3"/>
        <v>263913618052855</v>
      </c>
      <c r="D102" s="76">
        <v>2639136</v>
      </c>
      <c r="E102" s="76">
        <v>18052855</v>
      </c>
      <c r="F102" s="31" t="s">
        <v>587</v>
      </c>
      <c r="G102" s="31" t="s">
        <v>591</v>
      </c>
      <c r="H102" s="47" t="s">
        <v>44</v>
      </c>
      <c r="I102" s="32"/>
      <c r="J102" s="47" t="s">
        <v>5</v>
      </c>
      <c r="K102" s="47" t="s">
        <v>71</v>
      </c>
      <c r="L102" s="32" t="s">
        <v>3</v>
      </c>
      <c r="M102" s="47" t="s">
        <v>63</v>
      </c>
      <c r="N102" s="39">
        <v>266.73</v>
      </c>
      <c r="O102" s="39">
        <v>301.73</v>
      </c>
      <c r="P102" s="32" t="s">
        <v>126</v>
      </c>
      <c r="Q102" s="32" t="s">
        <v>41</v>
      </c>
      <c r="R102" s="32" t="s">
        <v>64</v>
      </c>
      <c r="S102" s="47" t="s">
        <v>40</v>
      </c>
      <c r="T102" s="47" t="s">
        <v>916</v>
      </c>
      <c r="U102" s="47" t="s">
        <v>4</v>
      </c>
      <c r="V102" s="45">
        <v>26636.94</v>
      </c>
      <c r="W102" s="31" t="s">
        <v>72</v>
      </c>
      <c r="X102" s="32" t="s">
        <v>598</v>
      </c>
      <c r="Y102" s="32" t="s">
        <v>592</v>
      </c>
      <c r="Z102" s="53">
        <v>11085266</v>
      </c>
      <c r="AA102" s="32" t="s">
        <v>33</v>
      </c>
      <c r="AB102" s="32" t="s">
        <v>36</v>
      </c>
      <c r="AC102" s="32" t="s">
        <v>40</v>
      </c>
      <c r="AD102" s="32" t="s">
        <v>65</v>
      </c>
      <c r="AE102" s="45">
        <v>28000</v>
      </c>
      <c r="AF102" s="31" t="s">
        <v>34</v>
      </c>
      <c r="AG102" s="30" t="s">
        <v>4</v>
      </c>
      <c r="AH102" s="32" t="s">
        <v>629</v>
      </c>
      <c r="AI102" s="32"/>
      <c r="AJ102" s="32"/>
      <c r="AK102" s="44" t="s">
        <v>590</v>
      </c>
      <c r="AL102" s="32"/>
      <c r="AM102" s="32"/>
      <c r="AN102" s="32"/>
      <c r="AO102" s="32" t="s">
        <v>664</v>
      </c>
      <c r="AP102" s="32"/>
      <c r="AQ102" s="32" t="s">
        <v>664</v>
      </c>
      <c r="AR102" s="32"/>
      <c r="AS102" s="32" t="s">
        <v>838</v>
      </c>
      <c r="AT102" s="32"/>
      <c r="AU102" s="32"/>
      <c r="AV102" s="32"/>
      <c r="AW102" s="32"/>
      <c r="AX102" s="32"/>
      <c r="AY102" s="32"/>
      <c r="AZ102" s="32"/>
      <c r="BA102" s="32" t="s">
        <v>685</v>
      </c>
    </row>
    <row r="103" spans="1:53" s="105" customFormat="1" ht="12" x14ac:dyDescent="0.2">
      <c r="A103" s="30">
        <v>99</v>
      </c>
      <c r="B103" s="47" t="s">
        <v>301</v>
      </c>
      <c r="C103" s="47" t="str">
        <f t="shared" si="3"/>
        <v>3162052930454</v>
      </c>
      <c r="D103" s="76">
        <v>316205</v>
      </c>
      <c r="E103" s="76">
        <v>2930454</v>
      </c>
      <c r="F103" s="31" t="s">
        <v>93</v>
      </c>
      <c r="G103" s="31">
        <v>21138502</v>
      </c>
      <c r="H103" s="47" t="s">
        <v>44</v>
      </c>
      <c r="I103" s="32"/>
      <c r="J103" s="47" t="s">
        <v>5</v>
      </c>
      <c r="K103" s="47" t="s">
        <v>84</v>
      </c>
      <c r="L103" s="32" t="s">
        <v>3</v>
      </c>
      <c r="M103" s="47" t="s">
        <v>63</v>
      </c>
      <c r="N103" s="46">
        <v>79600.149999999994</v>
      </c>
      <c r="O103" s="46">
        <v>158514.65999999997</v>
      </c>
      <c r="P103" s="32" t="s">
        <v>50</v>
      </c>
      <c r="Q103" s="32" t="s">
        <v>32</v>
      </c>
      <c r="R103" s="32" t="s">
        <v>64</v>
      </c>
      <c r="S103" s="47" t="s">
        <v>36</v>
      </c>
      <c r="T103" s="32" t="s">
        <v>94</v>
      </c>
      <c r="U103" s="31" t="s">
        <v>44</v>
      </c>
      <c r="V103" s="45">
        <v>79600.149999999994</v>
      </c>
      <c r="W103" s="32" t="s">
        <v>69</v>
      </c>
      <c r="X103" s="32" t="s">
        <v>40</v>
      </c>
      <c r="Y103" s="32" t="s">
        <v>95</v>
      </c>
      <c r="Z103" s="67">
        <v>11035490</v>
      </c>
      <c r="AA103" s="32" t="s">
        <v>33</v>
      </c>
      <c r="AB103" s="32" t="s">
        <v>36</v>
      </c>
      <c r="AC103" s="32"/>
      <c r="AD103" s="43" t="s">
        <v>65</v>
      </c>
      <c r="AE103" s="45">
        <v>79600.149999999994</v>
      </c>
      <c r="AF103" s="31" t="s">
        <v>34</v>
      </c>
      <c r="AG103" s="30" t="s">
        <v>4</v>
      </c>
      <c r="AH103" s="32"/>
      <c r="AI103" s="32"/>
      <c r="AJ103" s="32"/>
      <c r="AK103" s="32"/>
      <c r="AL103" s="32"/>
      <c r="AM103" s="32"/>
      <c r="AN103" s="32"/>
      <c r="AO103" s="32" t="s">
        <v>96</v>
      </c>
      <c r="AP103" s="32"/>
      <c r="AQ103" s="32" t="s">
        <v>97</v>
      </c>
      <c r="AR103" s="32"/>
      <c r="AS103" s="32" t="s">
        <v>70</v>
      </c>
      <c r="AT103" s="32"/>
      <c r="AU103" s="32" t="s">
        <v>98</v>
      </c>
      <c r="AV103" s="32" t="s">
        <v>280</v>
      </c>
      <c r="AW103" s="32"/>
      <c r="AX103" s="32"/>
      <c r="AY103" s="32"/>
      <c r="AZ103" s="32" t="s">
        <v>622</v>
      </c>
      <c r="BA103" s="32" t="s">
        <v>643</v>
      </c>
    </row>
    <row r="104" spans="1:53" s="105" customFormat="1" ht="12" x14ac:dyDescent="0.2">
      <c r="A104" s="30">
        <v>100</v>
      </c>
      <c r="B104" s="47" t="s">
        <v>421</v>
      </c>
      <c r="C104" s="47" t="str">
        <f t="shared" si="3"/>
        <v>226985413834059</v>
      </c>
      <c r="D104" s="76">
        <v>2269854</v>
      </c>
      <c r="E104" s="76">
        <v>13834059</v>
      </c>
      <c r="F104" s="31" t="s">
        <v>616</v>
      </c>
      <c r="G104" s="31">
        <v>46239959</v>
      </c>
      <c r="H104" s="65" t="s">
        <v>44</v>
      </c>
      <c r="I104" s="32"/>
      <c r="J104" s="47" t="s">
        <v>37</v>
      </c>
      <c r="K104" s="47" t="s">
        <v>62</v>
      </c>
      <c r="L104" s="32" t="s">
        <v>3</v>
      </c>
      <c r="M104" s="47" t="s">
        <v>63</v>
      </c>
      <c r="N104" s="32" t="s">
        <v>310</v>
      </c>
      <c r="O104" s="32"/>
      <c r="P104" s="32" t="s">
        <v>126</v>
      </c>
      <c r="Q104" s="32" t="s">
        <v>41</v>
      </c>
      <c r="R104" s="32" t="s">
        <v>64</v>
      </c>
      <c r="S104" s="47"/>
      <c r="T104" s="32" t="s">
        <v>794</v>
      </c>
      <c r="U104" s="32" t="s">
        <v>4</v>
      </c>
      <c r="V104" s="106">
        <v>25551.96</v>
      </c>
      <c r="W104" s="32" t="s">
        <v>256</v>
      </c>
      <c r="X104" s="32" t="s">
        <v>633</v>
      </c>
      <c r="Y104" s="32" t="s">
        <v>938</v>
      </c>
      <c r="Z104" s="67">
        <v>11004299</v>
      </c>
      <c r="AA104" s="32" t="s">
        <v>33</v>
      </c>
      <c r="AB104" s="32" t="s">
        <v>36</v>
      </c>
      <c r="AC104" s="32" t="s">
        <v>40</v>
      </c>
      <c r="AD104" s="32" t="s">
        <v>65</v>
      </c>
      <c r="AE104" s="45">
        <v>27000</v>
      </c>
      <c r="AF104" s="31" t="s">
        <v>34</v>
      </c>
      <c r="AG104" s="30" t="s">
        <v>4</v>
      </c>
      <c r="AH104" s="32" t="s">
        <v>759</v>
      </c>
      <c r="AI104" s="32" t="s">
        <v>760</v>
      </c>
      <c r="AJ104" s="32" t="s">
        <v>718</v>
      </c>
      <c r="AK104" s="32" t="s">
        <v>628</v>
      </c>
      <c r="AL104" s="32"/>
      <c r="AM104" s="32" t="s">
        <v>726</v>
      </c>
      <c r="AN104" s="32"/>
      <c r="AO104" s="32" t="s">
        <v>744</v>
      </c>
      <c r="AP104" s="32"/>
      <c r="AQ104" s="32" t="s">
        <v>826</v>
      </c>
      <c r="AR104" s="32"/>
      <c r="AS104" s="32" t="s">
        <v>876</v>
      </c>
      <c r="AT104" s="32"/>
      <c r="AU104" s="32"/>
      <c r="AV104" s="32"/>
      <c r="AW104" s="32"/>
      <c r="AX104" s="32"/>
      <c r="AY104" s="32"/>
      <c r="AZ104" s="32"/>
      <c r="BA104" s="32"/>
    </row>
    <row r="105" spans="1:53" s="105" customFormat="1" ht="12" customHeight="1" x14ac:dyDescent="0.2">
      <c r="A105" s="30">
        <v>101</v>
      </c>
      <c r="B105" s="47" t="s">
        <v>421</v>
      </c>
      <c r="C105" s="47" t="str">
        <f t="shared" si="3"/>
        <v>241467817006277</v>
      </c>
      <c r="D105" s="76">
        <v>2414678</v>
      </c>
      <c r="E105" s="76">
        <v>17006277</v>
      </c>
      <c r="F105" s="31" t="s">
        <v>632</v>
      </c>
      <c r="G105" s="31">
        <v>41086291</v>
      </c>
      <c r="H105" s="65" t="s">
        <v>44</v>
      </c>
      <c r="I105" s="32"/>
      <c r="J105" s="47" t="s">
        <v>37</v>
      </c>
      <c r="K105" s="47" t="s">
        <v>62</v>
      </c>
      <c r="L105" s="32" t="s">
        <v>3</v>
      </c>
      <c r="M105" s="47" t="s">
        <v>63</v>
      </c>
      <c r="N105" s="39">
        <v>27839.38</v>
      </c>
      <c r="O105" s="39">
        <v>38187.74</v>
      </c>
      <c r="P105" s="32" t="s">
        <v>126</v>
      </c>
      <c r="Q105" s="32" t="s">
        <v>41</v>
      </c>
      <c r="R105" s="32" t="s">
        <v>64</v>
      </c>
      <c r="S105" s="47"/>
      <c r="T105" s="47" t="s">
        <v>848</v>
      </c>
      <c r="U105" s="32" t="s">
        <v>4</v>
      </c>
      <c r="V105" s="45">
        <v>37430.36</v>
      </c>
      <c r="W105" s="32" t="s">
        <v>824</v>
      </c>
      <c r="X105" s="32" t="s">
        <v>631</v>
      </c>
      <c r="Y105" s="32" t="s">
        <v>811</v>
      </c>
      <c r="Z105" s="67" t="s">
        <v>812</v>
      </c>
      <c r="AA105" s="32" t="s">
        <v>33</v>
      </c>
      <c r="AB105" s="32" t="s">
        <v>36</v>
      </c>
      <c r="AC105" s="32" t="s">
        <v>40</v>
      </c>
      <c r="AD105" s="32" t="s">
        <v>65</v>
      </c>
      <c r="AE105" s="45">
        <v>39000</v>
      </c>
      <c r="AF105" s="31" t="s">
        <v>34</v>
      </c>
      <c r="AG105" s="30" t="s">
        <v>4</v>
      </c>
      <c r="AH105" s="32"/>
      <c r="AI105" s="32"/>
      <c r="AJ105" s="32"/>
      <c r="AK105" s="32" t="s">
        <v>628</v>
      </c>
      <c r="AL105" s="32"/>
      <c r="AM105" s="32" t="s">
        <v>733</v>
      </c>
      <c r="AN105" s="32"/>
      <c r="AO105" s="32" t="s">
        <v>836</v>
      </c>
      <c r="AP105" s="32"/>
      <c r="AQ105" s="32" t="s">
        <v>849</v>
      </c>
      <c r="AR105" s="32"/>
      <c r="AS105" s="32"/>
      <c r="AT105" s="32"/>
      <c r="AU105" s="32"/>
      <c r="AV105" s="32"/>
      <c r="AW105" s="32"/>
      <c r="AX105" s="32"/>
      <c r="AY105" s="32"/>
      <c r="AZ105" s="32" t="s">
        <v>965</v>
      </c>
      <c r="BA105" s="32" t="s">
        <v>966</v>
      </c>
    </row>
    <row r="106" spans="1:53" s="105" customFormat="1" ht="12.75" customHeight="1" x14ac:dyDescent="0.2">
      <c r="A106" s="30">
        <v>102</v>
      </c>
      <c r="B106" s="47" t="s">
        <v>301</v>
      </c>
      <c r="C106" s="47" t="str">
        <f t="shared" si="3"/>
        <v>241467818230407</v>
      </c>
      <c r="D106" s="76">
        <v>2414678</v>
      </c>
      <c r="E106" s="76">
        <v>18230407</v>
      </c>
      <c r="F106" s="31" t="s">
        <v>632</v>
      </c>
      <c r="G106" s="31">
        <v>41086291</v>
      </c>
      <c r="H106" s="47" t="s">
        <v>44</v>
      </c>
      <c r="I106" s="32" t="s">
        <v>690</v>
      </c>
      <c r="J106" s="47" t="s">
        <v>37</v>
      </c>
      <c r="K106" s="47" t="s">
        <v>62</v>
      </c>
      <c r="L106" s="32" t="s">
        <v>3</v>
      </c>
      <c r="M106" s="47" t="s">
        <v>63</v>
      </c>
      <c r="N106" s="39">
        <v>22819.14</v>
      </c>
      <c r="O106" s="39">
        <v>26172.84</v>
      </c>
      <c r="P106" s="32" t="s">
        <v>67</v>
      </c>
      <c r="Q106" s="32" t="s">
        <v>41</v>
      </c>
      <c r="R106" s="32" t="s">
        <v>64</v>
      </c>
      <c r="S106" s="47" t="s">
        <v>40</v>
      </c>
      <c r="T106" s="47" t="s">
        <v>689</v>
      </c>
      <c r="U106" s="32" t="s">
        <v>44</v>
      </c>
      <c r="V106" s="45">
        <v>46391.24</v>
      </c>
      <c r="W106" s="32" t="s">
        <v>824</v>
      </c>
      <c r="X106" s="32"/>
      <c r="Y106" s="32"/>
      <c r="Z106" s="67"/>
      <c r="AA106" s="32"/>
      <c r="AB106" s="32"/>
      <c r="AC106" s="32"/>
      <c r="AD106" s="32"/>
      <c r="AE106" s="32"/>
      <c r="AF106" s="31"/>
      <c r="AG106" s="30"/>
      <c r="AH106" s="32"/>
      <c r="AI106" s="32"/>
      <c r="AJ106" s="32"/>
      <c r="AK106" s="32"/>
      <c r="AL106" s="32"/>
      <c r="AM106" s="32"/>
      <c r="AN106" s="32"/>
      <c r="AO106" s="32" t="s">
        <v>669</v>
      </c>
      <c r="AP106" s="32"/>
      <c r="AQ106" s="32" t="s">
        <v>705</v>
      </c>
      <c r="AR106" s="32"/>
      <c r="AS106" s="32"/>
      <c r="AT106" s="32"/>
      <c r="AU106" s="32"/>
      <c r="AV106" s="32"/>
      <c r="AW106" s="32"/>
      <c r="AX106" s="32"/>
      <c r="AY106" s="32"/>
      <c r="AZ106" s="32"/>
      <c r="BA106" s="32"/>
    </row>
    <row r="107" spans="1:53" s="105" customFormat="1" ht="12" x14ac:dyDescent="0.2">
      <c r="A107" s="30">
        <v>103</v>
      </c>
      <c r="B107" s="47" t="s">
        <v>301</v>
      </c>
      <c r="C107" s="47" t="str">
        <f t="shared" si="3"/>
        <v>344514213010860</v>
      </c>
      <c r="D107" s="76">
        <v>3445142</v>
      </c>
      <c r="E107" s="76">
        <v>13010860</v>
      </c>
      <c r="F107" s="31" t="s">
        <v>372</v>
      </c>
      <c r="G107" s="31">
        <v>20527392</v>
      </c>
      <c r="H107" s="47" t="s">
        <v>4</v>
      </c>
      <c r="I107" s="32" t="s">
        <v>231</v>
      </c>
      <c r="J107" s="47" t="s">
        <v>6</v>
      </c>
      <c r="K107" s="47" t="s">
        <v>84</v>
      </c>
      <c r="L107" s="32" t="s">
        <v>3</v>
      </c>
      <c r="M107" s="47" t="s">
        <v>68</v>
      </c>
      <c r="N107" s="46">
        <v>68465.3</v>
      </c>
      <c r="O107" s="46">
        <v>69923.61</v>
      </c>
      <c r="P107" s="32" t="s">
        <v>67</v>
      </c>
      <c r="Q107" s="32" t="s">
        <v>32</v>
      </c>
      <c r="R107" s="32" t="s">
        <v>64</v>
      </c>
      <c r="S107" s="47" t="s">
        <v>36</v>
      </c>
      <c r="T107" s="32" t="s">
        <v>211</v>
      </c>
      <c r="U107" s="32" t="s">
        <v>44</v>
      </c>
      <c r="V107" s="45">
        <v>70041.36</v>
      </c>
      <c r="W107" s="32" t="s">
        <v>209</v>
      </c>
      <c r="X107" s="32" t="s">
        <v>40</v>
      </c>
      <c r="Y107" s="32" t="s">
        <v>40</v>
      </c>
      <c r="Z107" s="67" t="s">
        <v>40</v>
      </c>
      <c r="AA107" s="32" t="s">
        <v>40</v>
      </c>
      <c r="AB107" s="32" t="s">
        <v>40</v>
      </c>
      <c r="AC107" s="32" t="s">
        <v>40</v>
      </c>
      <c r="AD107" s="32" t="s">
        <v>40</v>
      </c>
      <c r="AE107" s="45"/>
      <c r="AF107" s="31"/>
      <c r="AG107" s="30"/>
      <c r="AH107" s="32"/>
      <c r="AI107" s="32"/>
      <c r="AJ107" s="32"/>
      <c r="AK107" s="44"/>
      <c r="AL107" s="32"/>
      <c r="AM107" s="32"/>
      <c r="AN107" s="32"/>
      <c r="AO107" s="32" t="s">
        <v>210</v>
      </c>
      <c r="AP107" s="32"/>
      <c r="AQ107" s="32" t="s">
        <v>230</v>
      </c>
      <c r="AR107" s="32"/>
      <c r="AS107" s="32" t="s">
        <v>305</v>
      </c>
      <c r="AT107" s="32" t="s">
        <v>368</v>
      </c>
      <c r="AU107" s="32"/>
      <c r="AV107" s="32"/>
      <c r="AW107" s="32"/>
      <c r="AX107" s="32"/>
      <c r="AY107" s="32"/>
      <c r="AZ107" s="32"/>
      <c r="BA107" s="32" t="s">
        <v>373</v>
      </c>
    </row>
    <row r="108" spans="1:53" s="105" customFormat="1" ht="13.5" customHeight="1" x14ac:dyDescent="0.2">
      <c r="A108" s="30">
        <v>106</v>
      </c>
      <c r="B108" s="31" t="s">
        <v>301</v>
      </c>
      <c r="C108" s="32" t="str">
        <f t="shared" si="3"/>
        <v>410343915530112</v>
      </c>
      <c r="D108" s="30">
        <v>4103439</v>
      </c>
      <c r="E108" s="30">
        <v>15530112</v>
      </c>
      <c r="F108" s="31" t="s">
        <v>436</v>
      </c>
      <c r="G108" s="31">
        <v>40660997</v>
      </c>
      <c r="H108" s="32" t="s">
        <v>44</v>
      </c>
      <c r="I108" s="32"/>
      <c r="J108" s="32" t="s">
        <v>37</v>
      </c>
      <c r="K108" s="32" t="s">
        <v>71</v>
      </c>
      <c r="L108" s="32" t="s">
        <v>3</v>
      </c>
      <c r="M108" s="32" t="s">
        <v>63</v>
      </c>
      <c r="N108" s="46">
        <v>13247.19</v>
      </c>
      <c r="O108" s="46">
        <v>15988.06</v>
      </c>
      <c r="P108" s="32" t="s">
        <v>126</v>
      </c>
      <c r="Q108" s="32" t="s">
        <v>41</v>
      </c>
      <c r="R108" s="32" t="s">
        <v>64</v>
      </c>
      <c r="S108" s="32" t="s">
        <v>40</v>
      </c>
      <c r="T108" s="68" t="s">
        <v>797</v>
      </c>
      <c r="U108" s="32" t="s">
        <v>4</v>
      </c>
      <c r="V108" s="45">
        <v>15941.86</v>
      </c>
      <c r="W108" s="32" t="s">
        <v>72</v>
      </c>
      <c r="X108" s="32" t="s">
        <v>462</v>
      </c>
      <c r="Y108" s="57" t="s">
        <v>939</v>
      </c>
      <c r="Z108" s="53" t="s">
        <v>443</v>
      </c>
      <c r="AA108" s="32" t="s">
        <v>33</v>
      </c>
      <c r="AB108" s="32" t="s">
        <v>36</v>
      </c>
      <c r="AC108" s="32" t="s">
        <v>40</v>
      </c>
      <c r="AD108" s="32" t="s">
        <v>65</v>
      </c>
      <c r="AE108" s="45">
        <v>16000</v>
      </c>
      <c r="AF108" s="31" t="s">
        <v>34</v>
      </c>
      <c r="AG108" s="30" t="s">
        <v>4</v>
      </c>
      <c r="AH108" s="32" t="s">
        <v>533</v>
      </c>
      <c r="AI108" s="32"/>
      <c r="AJ108" s="32"/>
      <c r="AK108" s="44" t="s">
        <v>441</v>
      </c>
      <c r="AL108" s="32"/>
      <c r="AM108" s="32" t="s">
        <v>463</v>
      </c>
      <c r="AN108" s="32"/>
      <c r="AO108" s="32" t="s">
        <v>546</v>
      </c>
      <c r="AP108" s="32"/>
      <c r="AQ108" s="32" t="s">
        <v>575</v>
      </c>
      <c r="AR108" s="32"/>
      <c r="AS108" s="32" t="s">
        <v>546</v>
      </c>
      <c r="AT108" s="32" t="s">
        <v>861</v>
      </c>
      <c r="AU108" s="32"/>
      <c r="AV108" s="32"/>
      <c r="AW108" s="32"/>
      <c r="AX108" s="32"/>
      <c r="AY108" s="32"/>
      <c r="AZ108" s="32" t="s">
        <v>676</v>
      </c>
      <c r="BA108" s="32" t="s">
        <v>684</v>
      </c>
    </row>
    <row r="109" spans="1:53" s="105" customFormat="1" ht="18" customHeight="1" x14ac:dyDescent="0.2">
      <c r="A109" s="30">
        <v>107</v>
      </c>
      <c r="B109" s="47" t="s">
        <v>421</v>
      </c>
      <c r="C109" s="47" t="str">
        <f t="shared" si="3"/>
        <v>279689117861140</v>
      </c>
      <c r="D109" s="76">
        <v>2796891</v>
      </c>
      <c r="E109" s="76">
        <v>17861140</v>
      </c>
      <c r="F109" s="65" t="s">
        <v>731</v>
      </c>
      <c r="G109" s="65">
        <v>70795224</v>
      </c>
      <c r="H109" s="47" t="s">
        <v>44</v>
      </c>
      <c r="I109" s="47" t="s">
        <v>310</v>
      </c>
      <c r="J109" s="47" t="s">
        <v>5</v>
      </c>
      <c r="K109" s="47" t="s">
        <v>71</v>
      </c>
      <c r="L109" s="47" t="s">
        <v>3</v>
      </c>
      <c r="M109" s="47" t="s">
        <v>68</v>
      </c>
      <c r="N109" s="83">
        <v>19450.84</v>
      </c>
      <c r="O109" s="83">
        <v>23108.240000000002</v>
      </c>
      <c r="P109" s="47" t="s">
        <v>67</v>
      </c>
      <c r="Q109" s="47" t="s">
        <v>41</v>
      </c>
      <c r="R109" s="47" t="s">
        <v>64</v>
      </c>
      <c r="S109" s="47" t="s">
        <v>40</v>
      </c>
      <c r="T109" s="84" t="s">
        <v>917</v>
      </c>
      <c r="U109" s="47" t="s">
        <v>44</v>
      </c>
      <c r="V109" s="89">
        <v>23012.69</v>
      </c>
      <c r="W109" s="47" t="s">
        <v>72</v>
      </c>
      <c r="X109" s="68"/>
      <c r="Y109" s="57"/>
      <c r="Z109" s="77"/>
      <c r="AA109" s="47"/>
      <c r="AB109" s="47"/>
      <c r="AC109" s="47"/>
      <c r="AD109" s="47"/>
      <c r="AE109" s="47"/>
      <c r="AF109" s="65"/>
      <c r="AG109" s="76"/>
      <c r="AH109" s="47"/>
      <c r="AI109" s="47"/>
      <c r="AJ109" s="47"/>
      <c r="AK109" s="47"/>
      <c r="AL109" s="47"/>
      <c r="AM109" s="47"/>
      <c r="AN109" s="47"/>
      <c r="AO109" s="47" t="s">
        <v>790</v>
      </c>
      <c r="AP109" s="47"/>
      <c r="AQ109" s="47" t="s">
        <v>809</v>
      </c>
      <c r="AR109" s="47"/>
      <c r="AS109" s="47"/>
      <c r="AT109" s="47"/>
      <c r="AU109" s="47"/>
      <c r="AV109" s="47"/>
      <c r="AW109" s="47"/>
      <c r="AX109" s="47"/>
      <c r="AY109" s="47"/>
      <c r="AZ109" s="47"/>
      <c r="BA109" s="47"/>
    </row>
    <row r="110" spans="1:53" s="108" customFormat="1" ht="12" x14ac:dyDescent="0.2">
      <c r="A110" s="30">
        <v>108</v>
      </c>
      <c r="B110" s="31" t="s">
        <v>301</v>
      </c>
      <c r="C110" s="32" t="str">
        <f t="shared" si="3"/>
        <v>152024615045905</v>
      </c>
      <c r="D110" s="30">
        <v>1520246</v>
      </c>
      <c r="E110" s="30">
        <v>15045905</v>
      </c>
      <c r="F110" s="31" t="s">
        <v>438</v>
      </c>
      <c r="G110" s="31">
        <v>21135965</v>
      </c>
      <c r="H110" s="32" t="s">
        <v>44</v>
      </c>
      <c r="I110" s="32"/>
      <c r="J110" s="32" t="s">
        <v>37</v>
      </c>
      <c r="K110" s="32" t="s">
        <v>62</v>
      </c>
      <c r="L110" s="32" t="s">
        <v>3</v>
      </c>
      <c r="M110" s="32" t="s">
        <v>63</v>
      </c>
      <c r="N110" s="39">
        <v>39071.519999999997</v>
      </c>
      <c r="O110" s="39">
        <v>52328.83</v>
      </c>
      <c r="P110" s="32" t="s">
        <v>126</v>
      </c>
      <c r="Q110" s="32" t="s">
        <v>351</v>
      </c>
      <c r="R110" s="32" t="s">
        <v>64</v>
      </c>
      <c r="S110" s="32" t="s">
        <v>40</v>
      </c>
      <c r="T110" s="32" t="s">
        <v>796</v>
      </c>
      <c r="U110" s="32" t="s">
        <v>44</v>
      </c>
      <c r="V110" s="45">
        <v>52192.53</v>
      </c>
      <c r="W110" s="31" t="s">
        <v>112</v>
      </c>
      <c r="X110" s="32" t="s">
        <v>452</v>
      </c>
      <c r="Y110" s="32" t="s">
        <v>447</v>
      </c>
      <c r="Z110" s="53" t="s">
        <v>448</v>
      </c>
      <c r="AA110" s="32" t="s">
        <v>33</v>
      </c>
      <c r="AB110" s="32" t="s">
        <v>35</v>
      </c>
      <c r="AC110" s="32" t="s">
        <v>449</v>
      </c>
      <c r="AD110" s="32" t="s">
        <v>109</v>
      </c>
      <c r="AE110" s="45">
        <v>53000</v>
      </c>
      <c r="AF110" s="31" t="s">
        <v>34</v>
      </c>
      <c r="AG110" s="30" t="s">
        <v>4</v>
      </c>
      <c r="AH110" s="32" t="s">
        <v>841</v>
      </c>
      <c r="AI110" s="32" t="s">
        <v>651</v>
      </c>
      <c r="AJ110" s="92" t="s">
        <v>738</v>
      </c>
      <c r="AK110" s="44" t="s">
        <v>451</v>
      </c>
      <c r="AL110" s="32"/>
      <c r="AM110" s="32" t="s">
        <v>488</v>
      </c>
      <c r="AN110" s="32"/>
      <c r="AO110" s="32" t="s">
        <v>650</v>
      </c>
      <c r="AP110" s="32"/>
      <c r="AQ110" s="32" t="s">
        <v>669</v>
      </c>
      <c r="AR110" s="32"/>
      <c r="AS110" s="32" t="s">
        <v>836</v>
      </c>
      <c r="AT110" s="32"/>
      <c r="AU110" s="32"/>
      <c r="AV110" s="32"/>
      <c r="AW110" s="32"/>
      <c r="AX110" s="32"/>
      <c r="AY110" s="32"/>
      <c r="AZ110" s="32"/>
      <c r="BA110" s="32"/>
    </row>
    <row r="111" spans="1:53" x14ac:dyDescent="0.25">
      <c r="A111" s="30">
        <v>109</v>
      </c>
      <c r="B111" s="32" t="s">
        <v>421</v>
      </c>
      <c r="C111" s="32" t="str">
        <f t="shared" si="3"/>
        <v>142476719457394</v>
      </c>
      <c r="D111" s="30">
        <v>1424767</v>
      </c>
      <c r="E111" s="30">
        <v>19457394</v>
      </c>
      <c r="F111" s="31" t="s">
        <v>607</v>
      </c>
      <c r="G111" s="31">
        <v>76260190</v>
      </c>
      <c r="H111" s="31" t="s">
        <v>44</v>
      </c>
      <c r="I111" s="32"/>
      <c r="J111" s="32" t="s">
        <v>5</v>
      </c>
      <c r="K111" s="32" t="s">
        <v>84</v>
      </c>
      <c r="L111" s="32" t="s">
        <v>3</v>
      </c>
      <c r="M111" s="32" t="s">
        <v>68</v>
      </c>
      <c r="N111" s="39">
        <v>46050.45</v>
      </c>
      <c r="O111" s="39">
        <v>52506.48</v>
      </c>
      <c r="P111" s="32" t="s">
        <v>67</v>
      </c>
      <c r="Q111" s="32" t="s">
        <v>41</v>
      </c>
      <c r="R111" s="32" t="s">
        <v>64</v>
      </c>
      <c r="S111" s="32" t="s">
        <v>40</v>
      </c>
      <c r="T111" s="32" t="s">
        <v>647</v>
      </c>
      <c r="U111" s="32" t="s">
        <v>44</v>
      </c>
      <c r="V111" s="86" t="s">
        <v>613</v>
      </c>
      <c r="W111" s="32" t="s">
        <v>302</v>
      </c>
      <c r="X111" s="32"/>
      <c r="Y111" s="32"/>
      <c r="Z111" s="67"/>
      <c r="AA111" s="32"/>
      <c r="AB111" s="32"/>
      <c r="AC111" s="32"/>
      <c r="AD111" s="32"/>
      <c r="AE111" s="32"/>
      <c r="AF111" s="31"/>
      <c r="AG111" s="30"/>
      <c r="AH111" s="32"/>
      <c r="AI111" s="32"/>
      <c r="AJ111" s="32"/>
      <c r="AK111" s="32"/>
      <c r="AL111" s="32"/>
      <c r="AM111" s="32"/>
      <c r="AN111" s="32"/>
      <c r="AO111" s="32" t="s">
        <v>611</v>
      </c>
      <c r="AP111" s="32"/>
      <c r="AQ111" s="32" t="s">
        <v>628</v>
      </c>
      <c r="AR111" s="32"/>
      <c r="AS111" s="32" t="s">
        <v>836</v>
      </c>
      <c r="AT111" s="32"/>
      <c r="AU111" s="32"/>
      <c r="AV111" s="32"/>
      <c r="AW111" s="32"/>
      <c r="AX111" s="32"/>
      <c r="AY111" s="32"/>
      <c r="AZ111" s="32"/>
      <c r="BA111" s="32"/>
    </row>
    <row r="112" spans="1:53" x14ac:dyDescent="0.25">
      <c r="A112" s="30">
        <v>110</v>
      </c>
      <c r="B112" s="32" t="s">
        <v>421</v>
      </c>
      <c r="C112" s="32" t="str">
        <f t="shared" si="3"/>
        <v>223343218495198</v>
      </c>
      <c r="D112" s="30">
        <v>2233432</v>
      </c>
      <c r="E112" s="30">
        <v>18495198</v>
      </c>
      <c r="F112" s="31" t="s">
        <v>660</v>
      </c>
      <c r="G112" s="31">
        <v>74532601</v>
      </c>
      <c r="H112" s="31" t="s">
        <v>44</v>
      </c>
      <c r="I112" s="32"/>
      <c r="J112" s="32" t="s">
        <v>5</v>
      </c>
      <c r="K112" s="32" t="s">
        <v>84</v>
      </c>
      <c r="L112" s="32" t="s">
        <v>3</v>
      </c>
      <c r="M112" s="32" t="s">
        <v>68</v>
      </c>
      <c r="N112" s="39">
        <v>36653.85</v>
      </c>
      <c r="O112" s="39">
        <v>40698.199999999997</v>
      </c>
      <c r="P112" s="32" t="s">
        <v>67</v>
      </c>
      <c r="Q112" s="32" t="s">
        <v>41</v>
      </c>
      <c r="R112" s="32" t="s">
        <v>64</v>
      </c>
      <c r="S112" s="32" t="s">
        <v>40</v>
      </c>
      <c r="T112" s="32" t="s">
        <v>667</v>
      </c>
      <c r="U112" s="32" t="s">
        <v>44</v>
      </c>
      <c r="V112" s="86" t="s">
        <v>612</v>
      </c>
      <c r="W112" s="32" t="s">
        <v>658</v>
      </c>
      <c r="X112" s="32"/>
      <c r="Y112" s="32"/>
      <c r="Z112" s="67"/>
      <c r="AA112" s="32"/>
      <c r="AB112" s="32"/>
      <c r="AC112" s="32"/>
      <c r="AD112" s="32"/>
      <c r="AE112" s="32"/>
      <c r="AF112" s="31"/>
      <c r="AG112" s="30"/>
      <c r="AH112" s="32"/>
      <c r="AI112" s="32"/>
      <c r="AJ112" s="32"/>
      <c r="AK112" s="32"/>
      <c r="AL112" s="32"/>
      <c r="AM112" s="32"/>
      <c r="AN112" s="32"/>
      <c r="AO112" s="32" t="s">
        <v>611</v>
      </c>
      <c r="AP112" s="32"/>
      <c r="AQ112" s="32" t="s">
        <v>659</v>
      </c>
      <c r="AR112" s="32"/>
      <c r="AS112" s="32" t="s">
        <v>754</v>
      </c>
      <c r="AT112" s="32"/>
      <c r="AU112" s="32"/>
      <c r="AV112" s="32"/>
      <c r="AW112" s="32"/>
      <c r="AX112" s="32"/>
      <c r="AY112" s="32"/>
      <c r="AZ112" s="32"/>
      <c r="BA112" s="32"/>
    </row>
    <row r="113" spans="1:53" ht="21" customHeight="1" x14ac:dyDescent="0.25">
      <c r="A113" s="2">
        <v>111</v>
      </c>
      <c r="B113" s="32" t="s">
        <v>421</v>
      </c>
      <c r="C113" s="32" t="str">
        <f t="shared" si="3"/>
        <v>455373018892305</v>
      </c>
      <c r="D113" s="30">
        <v>4553730</v>
      </c>
      <c r="E113" s="30">
        <v>18892305</v>
      </c>
      <c r="F113" s="31" t="s">
        <v>958</v>
      </c>
      <c r="G113" s="34">
        <v>40259845</v>
      </c>
      <c r="H113" s="2" t="s">
        <v>44</v>
      </c>
      <c r="I113" s="2"/>
      <c r="J113" s="2" t="s">
        <v>5</v>
      </c>
      <c r="K113" s="2" t="s">
        <v>71</v>
      </c>
      <c r="L113" s="2" t="s">
        <v>3</v>
      </c>
      <c r="M113" s="2" t="s">
        <v>63</v>
      </c>
      <c r="N113" s="2"/>
      <c r="O113" s="2"/>
      <c r="P113" s="2" t="s">
        <v>126</v>
      </c>
      <c r="Q113" s="2" t="s">
        <v>943</v>
      </c>
      <c r="R113" s="2" t="s">
        <v>64</v>
      </c>
      <c r="S113" s="2" t="s">
        <v>40</v>
      </c>
      <c r="U113" s="2" t="s">
        <v>44</v>
      </c>
      <c r="V113" s="2">
        <v>103721.98</v>
      </c>
      <c r="W113" s="2" t="s">
        <v>259</v>
      </c>
      <c r="X113" s="2" t="s">
        <v>959</v>
      </c>
      <c r="Y113" s="124" t="s">
        <v>960</v>
      </c>
      <c r="Z113" s="125">
        <v>11117255</v>
      </c>
      <c r="AA113" s="2" t="s">
        <v>33</v>
      </c>
      <c r="AB113" s="2" t="s">
        <v>36</v>
      </c>
      <c r="AC113" s="2" t="s">
        <v>40</v>
      </c>
      <c r="AD113" s="2" t="s">
        <v>65</v>
      </c>
      <c r="AE113" s="45">
        <v>104000</v>
      </c>
      <c r="AF113" s="112" t="s">
        <v>34</v>
      </c>
      <c r="AG113" s="4" t="s">
        <v>44</v>
      </c>
      <c r="AH113" s="2"/>
      <c r="AI113" s="2"/>
      <c r="AJ113" s="2"/>
      <c r="AK113" s="44" t="s">
        <v>961</v>
      </c>
      <c r="AL113" s="44" t="s">
        <v>949</v>
      </c>
      <c r="AM113" s="2"/>
      <c r="AN113" s="2"/>
      <c r="AO113" s="2"/>
      <c r="AP113" s="2"/>
      <c r="AQ113" s="2"/>
      <c r="AR113" s="2"/>
      <c r="AS113" s="2"/>
      <c r="AT113" s="2"/>
      <c r="AU113" s="2"/>
      <c r="AV113" s="2"/>
      <c r="AW113" s="2"/>
      <c r="AX113" s="2"/>
      <c r="AY113" s="2"/>
      <c r="AZ113" s="2"/>
      <c r="BA113" s="2"/>
    </row>
    <row r="114" spans="1:53" x14ac:dyDescent="0.25">
      <c r="A114" s="2"/>
      <c r="B114" s="2"/>
      <c r="C114" s="2"/>
      <c r="D114" s="2"/>
      <c r="E114" s="2"/>
      <c r="F114" s="2"/>
      <c r="G114" s="34"/>
      <c r="H114" s="2"/>
      <c r="I114" s="2"/>
      <c r="J114" s="2"/>
      <c r="K114" s="2"/>
      <c r="L114" s="2"/>
      <c r="M114" s="2"/>
      <c r="N114" s="2"/>
      <c r="O114" s="2"/>
      <c r="P114" s="2"/>
      <c r="Q114" s="2"/>
      <c r="R114" s="2"/>
      <c r="S114" s="2"/>
      <c r="T114" s="2"/>
      <c r="U114" s="2"/>
      <c r="V114" s="2"/>
      <c r="W114" s="2"/>
      <c r="X114" s="2"/>
      <c r="Y114" s="2"/>
      <c r="Z114" s="113"/>
      <c r="AA114" s="2"/>
      <c r="AB114" s="2"/>
      <c r="AC114" s="2"/>
      <c r="AD114" s="2"/>
      <c r="AE114" s="2"/>
      <c r="AF114" s="112"/>
      <c r="AG114" s="4"/>
      <c r="AH114" s="2"/>
      <c r="AI114" s="2"/>
      <c r="AJ114" s="2"/>
      <c r="AK114" s="2"/>
      <c r="AL114" s="2"/>
      <c r="AM114" s="2"/>
      <c r="AN114" s="2"/>
      <c r="AO114" s="2"/>
      <c r="AP114" s="2"/>
      <c r="AQ114" s="2"/>
      <c r="AR114" s="2"/>
      <c r="AS114" s="2"/>
      <c r="AT114" s="2"/>
      <c r="AU114" s="2"/>
      <c r="AV114" s="2"/>
      <c r="AW114" s="2"/>
      <c r="AX114" s="2"/>
      <c r="AY114" s="2"/>
      <c r="AZ114" s="2"/>
      <c r="BA114" s="2"/>
    </row>
    <row r="115" spans="1:53"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113"/>
      <c r="AA115" s="2"/>
      <c r="AB115" s="2"/>
      <c r="AC115" s="2"/>
      <c r="AD115" s="2"/>
      <c r="AE115" s="2"/>
      <c r="AF115" s="112"/>
      <c r="AG115" s="4"/>
      <c r="AH115" s="2"/>
      <c r="AI115" s="2"/>
      <c r="AJ115" s="2"/>
      <c r="AK115" s="2"/>
      <c r="AL115" s="2"/>
      <c r="AM115" s="2"/>
      <c r="AN115" s="2"/>
      <c r="AO115" s="2"/>
      <c r="AP115" s="2"/>
      <c r="AQ115" s="2"/>
      <c r="AR115" s="2"/>
      <c r="AS115" s="2"/>
      <c r="AT115" s="2"/>
      <c r="AU115" s="2"/>
      <c r="AV115" s="2"/>
      <c r="AW115" s="2"/>
      <c r="AX115" s="2"/>
      <c r="AY115" s="2"/>
      <c r="AZ115" s="2"/>
      <c r="BA115" s="2"/>
    </row>
    <row r="116" spans="1:53"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113"/>
      <c r="AA116" s="2"/>
      <c r="AB116" s="2"/>
      <c r="AC116" s="2"/>
      <c r="AD116" s="2"/>
      <c r="AE116" s="2"/>
      <c r="AF116" s="112"/>
      <c r="AG116" s="4"/>
      <c r="AH116" s="2"/>
      <c r="AI116" s="2"/>
      <c r="AJ116" s="2"/>
      <c r="AK116" s="2"/>
      <c r="AL116" s="2"/>
      <c r="AM116" s="2"/>
      <c r="AN116" s="2"/>
      <c r="AO116" s="2"/>
      <c r="AP116" s="2"/>
      <c r="AQ116" s="2"/>
      <c r="AR116" s="2"/>
      <c r="AS116" s="2"/>
      <c r="AT116" s="2"/>
      <c r="AU116" s="2"/>
      <c r="AV116" s="2"/>
      <c r="AW116" s="2"/>
      <c r="AX116" s="2"/>
      <c r="AY116" s="2"/>
      <c r="AZ116" s="2"/>
      <c r="BA116" s="2"/>
    </row>
    <row r="117" spans="1:53"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113"/>
      <c r="AA117" s="2"/>
      <c r="AB117" s="2"/>
      <c r="AC117" s="2"/>
      <c r="AD117" s="2"/>
      <c r="AE117" s="2"/>
      <c r="AF117" s="112"/>
      <c r="AG117" s="4"/>
      <c r="AH117" s="2"/>
      <c r="AI117" s="2"/>
      <c r="AJ117" s="2"/>
      <c r="AK117" s="2"/>
      <c r="AL117" s="2"/>
      <c r="AM117" s="2"/>
      <c r="AN117" s="2"/>
      <c r="AO117" s="2"/>
      <c r="AP117" s="2"/>
      <c r="AQ117" s="2"/>
      <c r="AR117" s="2"/>
      <c r="AS117" s="2"/>
      <c r="AT117" s="2"/>
      <c r="AU117" s="2"/>
      <c r="AV117" s="2"/>
      <c r="AW117" s="2"/>
      <c r="AX117" s="2"/>
      <c r="AY117" s="2"/>
      <c r="AZ117" s="2"/>
      <c r="BA117" s="2"/>
    </row>
  </sheetData>
  <autoFilter ref="A2:BA109" xr:uid="{BC11EB40-7DAA-424E-A735-65B781D92DAA}">
    <sortState xmlns:xlrd2="http://schemas.microsoft.com/office/spreadsheetml/2017/richdata2" ref="A3:BA112">
      <sortCondition ref="F2:F109"/>
    </sortState>
  </autoFilter>
  <mergeCells count="4">
    <mergeCell ref="A1:O1"/>
    <mergeCell ref="P1:W1"/>
    <mergeCell ref="X1:AN1"/>
    <mergeCell ref="AO1:BA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CARTERA SELVA CENTRAL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Gabriela Yadira De La Cruz Aylas</dc:creator>
  <dc:description/>
  <cp:lastModifiedBy>Giordan23</cp:lastModifiedBy>
  <cp:revision>0</cp:revision>
  <cp:lastPrinted>2026-03-18T00:29:51Z</cp:lastPrinted>
  <dcterms:created xsi:type="dcterms:W3CDTF">2021-02-17T16:19:37Z</dcterms:created>
  <dcterms:modified xsi:type="dcterms:W3CDTF">2026-07-23T23:22:08Z</dcterms:modified>
  <dc:language>es-PE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